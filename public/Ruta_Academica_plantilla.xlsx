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Asignaturas" sheetId="2" state="visible" r:id="rId4"/>
    <sheet name="Actividades" sheetId="3" state="visible" r:id="rId5"/>
    <sheet name="Semana" sheetId="4" state="visible" r:id="rId6"/>
    <sheet name="Carga" sheetId="5" state="visible" r:id="rId7"/>
    <sheet name="Progreso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<sst xmlns="http://schemas.openxmlformats.org/spreadsheetml/2006/main" count="123" uniqueCount="87">
  <si>
    <t xml:space="preserve">Ruta Académica</t>
  </si>
  <si>
    <t xml:space="preserve">Plantilla de planificación semanal para quien estudia a distancia y trabaja</t>
  </si>
  <si>
    <t xml:space="preserve">Cómo usarla (unos 5 minutos)</t>
  </si>
  <si>
    <t xml:space="preserve">1. Hoja «Asignaturas»: escribe tus materias y sus créditos (hasta 12).</t>
  </si>
  <si>
    <t xml:space="preserve">2. Hoja «Actividades»: una fila por entrega. Todo se elige con desplegables: asignatura, prioridad y estado. Escribe la fecha y la hora límite.</t>
  </si>
  <si>
    <t xml:space="preserve">3. Marca «Fecha verificada» = Sí solo cuando hayas comparado la fecha de la plataforma con el enunciado o el correo del docente.</t>
  </si>
  <si>
    <t xml:space="preserve">4. Mira «Semana» (qué toca ahora), «Carga» (semanas con muchas entregas) y «Progreso» (avance por asignatura). Se actualizan solas.</t>
  </si>
  <si>
    <t xml:space="preserve">Colores</t>
  </si>
  <si>
    <t xml:space="preserve">Encabezado azul: aquí escribes tú</t>
  </si>
  <si>
    <t xml:space="preserve">Encabezado gris: se calcula solo, no lo borres</t>
  </si>
  <si>
    <t xml:space="preserve">Ajustes (puedes cambiarlos)</t>
  </si>
  <si>
    <t xml:space="preserve">Días antes de la entrega para marcar «Urgente»</t>
  </si>
  <si>
    <t xml:space="preserve">Valores iniciales definidos por el equipo; ajústalos a tu ritmo.</t>
  </si>
  <si>
    <t xml:space="preserve">Entregas en 7 días para marcar «Semana cargada»</t>
  </si>
  <si>
    <t xml:space="preserve">Antes de empezar</t>
  </si>
  <si>
    <t xml:space="preserve">• Las filas 2 a 10 de «Actividades» y las materias de «Asignaturas» son EJEMPLOS con datos ficticios. Bórralas antes de usar la plantilla.</t>
  </si>
  <si>
    <t xml:space="preserve">• Para borrar, selecciona solo las columnas azules (A a G en «Actividades») y presiona Suprimir. No elimines filas ni columnas.</t>
  </si>
  <si>
    <t xml:space="preserve">• Las fechas de ejemplo corresponden a septiembre y octubre de 2026.</t>
  </si>
  <si>
    <t xml:space="preserve">• Funciona igual en Google Sheets: sube el archivo a Drive y ábrelo con Hojas de cálculo de Google.</t>
  </si>
  <si>
    <t xml:space="preserve">Asignatura</t>
  </si>
  <si>
    <t xml:space="preserve">Créditos</t>
  </si>
  <si>
    <t xml:space="preserve">Peso en la carga</t>
  </si>
  <si>
    <t xml:space="preserve">Los créditos sirven para ver qué asignatura pesa más en tu carga.</t>
  </si>
  <si>
    <t xml:space="preserve">Cálculo diferencial</t>
  </si>
  <si>
    <t xml:space="preserve">Bases de datos</t>
  </si>
  <si>
    <t xml:space="preserve">Inglés</t>
  </si>
  <si>
    <t xml:space="preserve">Seminario investigativo</t>
  </si>
  <si>
    <t xml:space="preserve">Actividad</t>
  </si>
  <si>
    <t xml:space="preserve">Fecha límite</t>
  </si>
  <si>
    <t xml:space="preserve">Hora límite</t>
  </si>
  <si>
    <t xml:space="preserve">Fecha verificada</t>
  </si>
  <si>
    <t xml:space="preserve">Prioridad</t>
  </si>
  <si>
    <t xml:space="preserve">Estado</t>
  </si>
  <si>
    <t xml:space="preserve">Días restantes</t>
  </si>
  <si>
    <t xml:space="preserve">Alerta</t>
  </si>
  <si>
    <t xml:space="preserve">Clave</t>
  </si>
  <si>
    <t xml:space="preserve">Orden</t>
  </si>
  <si>
    <t xml:space="preserve">Taller 3: límites</t>
  </si>
  <si>
    <t xml:space="preserve">Sí</t>
  </si>
  <si>
    <t xml:space="preserve">Alta</t>
  </si>
  <si>
    <t xml:space="preserve">En proceso</t>
  </si>
  <si>
    <t xml:space="preserve">Quiz de normalización</t>
  </si>
  <si>
    <t xml:space="preserve">No</t>
  </si>
  <si>
    <t xml:space="preserve">Pendiente</t>
  </si>
  <si>
    <t xml:space="preserve">Ensayo en inglés</t>
  </si>
  <si>
    <t xml:space="preserve">Media</t>
  </si>
  <si>
    <t xml:space="preserve">Avance del artículo</t>
  </si>
  <si>
    <t xml:space="preserve">Parcial 1</t>
  </si>
  <si>
    <t xml:space="preserve">Proyecto: modelo entidad-relación</t>
  </si>
  <si>
    <t xml:space="preserve">Foro de discusión</t>
  </si>
  <si>
    <t xml:space="preserve">Baja</t>
  </si>
  <si>
    <t xml:space="preserve">Terminada</t>
  </si>
  <si>
    <t xml:space="preserve">Lectura y resumen</t>
  </si>
  <si>
    <t xml:space="preserve">Taller 4: derivadas</t>
  </si>
  <si>
    <t xml:space="preserve">Esta semana: vencidas y próximos 7 días</t>
  </si>
  <si>
    <t xml:space="preserve">Hoy:</t>
  </si>
  <si>
    <t xml:space="preserve">N.º</t>
  </si>
  <si>
    <t xml:space="preserve">Fecha</t>
  </si>
  <si>
    <t xml:space="preserve">Día</t>
  </si>
  <si>
    <t xml:space="preserve">Hora</t>
  </si>
  <si>
    <t xml:space="preserve">idx</t>
  </si>
  <si>
    <t xml:space="preserve">Se muestran hasta 15 entregas, ordenadas por fecha. Las terminadas no aparecen.</t>
  </si>
  <si>
    <t xml:space="preserve">Carga de entregas por semana</t>
  </si>
  <si>
    <t xml:space="preserve">Sirve para ver con tiempo qué semanas se cruzan varias entregas.</t>
  </si>
  <si>
    <t xml:space="preserve">Periodo</t>
  </si>
  <si>
    <t xml:space="preserve">Desde</t>
  </si>
  <si>
    <t xml:space="preserve">Hasta</t>
  </si>
  <si>
    <t xml:space="preserve">Entregas pendientes</t>
  </si>
  <si>
    <t xml:space="preserve">De prioridad alta</t>
  </si>
  <si>
    <t xml:space="preserve">Nivel</t>
  </si>
  <si>
    <t xml:space="preserve">Vista</t>
  </si>
  <si>
    <t xml:space="preserve">Vencidas sin terminar</t>
  </si>
  <si>
    <t xml:space="preserve">Semana 1</t>
  </si>
  <si>
    <t xml:space="preserve">Semana 2</t>
  </si>
  <si>
    <t xml:space="preserve">Semana 3</t>
  </si>
  <si>
    <t xml:space="preserve">Semana 4</t>
  </si>
  <si>
    <t xml:space="preserve">Semana 5</t>
  </si>
  <si>
    <t xml:space="preserve">Semana 6</t>
  </si>
  <si>
    <t xml:space="preserve">Cada semana cuenta 7 días desde hoy. Si una semana sale cargada, mueve lo que puedas adelantar a la anterior.</t>
  </si>
  <si>
    <t xml:space="preserve">Progreso por asignatura</t>
  </si>
  <si>
    <t xml:space="preserve">Total</t>
  </si>
  <si>
    <t xml:space="preserve">Terminadas</t>
  </si>
  <si>
    <t xml:space="preserve">Pendientes</t>
  </si>
  <si>
    <t xml:space="preserve">Avance</t>
  </si>
  <si>
    <t xml:space="preserve">Barra</t>
  </si>
  <si>
    <t xml:space="preserve">TOTAL</t>
  </si>
  <si>
    <t xml:space="preserve">El avance es el porcentaje de actividades terminadas sobre el total registrado en cada asignatura.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</si>
</sst>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%"/>
    <numFmt numFmtId="167" formatCode="dd/mm/yyyy"/>
    <numFmt numFmtId="168" formatCode="hh:mm"/>
    <numFmt numFmtId="169" formatCode="mm/dd/yy"/>
    <numFmt numFmtId="170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F4E79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7F7F7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6"/>
      <color rgb="FF1F4E79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0"/>
      <color rgb="FF1F4E79"/>
      <name val="Arial"/>
      <family val="0"/>
      <charset val="1"/>
    </font>
    <font>
      <sz val="10"/>
      <color rgb="FF54823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548235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7F7F7F"/>
        <bgColor rgb="FF969696"/>
      </patternFill>
    </fill>
    <fill>
      <patternFill patternType="solid">
        <fgColor rgb="FFFFF2CC"/>
        <bgColor rgb="FFFFF3CD"/>
      </patternFill>
    </fill>
    <fill>
      <patternFill patternType="solid">
        <fgColor rgb="FFEAF1F8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ont>
        <name val="Arial"/>
        <charset val="1"/>
        <family val="0"/>
        <color rgb="FF9C0006"/>
      </font>
      <fill>
        <patternFill>
          <bgColor rgb="FFFDE2E2"/>
        </patternFill>
      </fill>
    </dxf>
    <dxf>
      <font>
        <name val="Arial"/>
        <charset val="1"/>
        <family val="0"/>
        <color rgb="FF7F6000"/>
      </font>
      <fill>
        <patternFill>
          <bgColor rgb="FFFFF3CD"/>
        </patternFill>
      </fill>
    </dxf>
    <dxf>
      <font>
        <name val="Arial"/>
        <charset val="1"/>
        <family val="0"/>
        <color rgb="FF155724"/>
      </font>
      <fill>
        <patternFill>
          <bgColor rgb="FFD4EDDA"/>
        </patternFill>
      </fill>
    </dxf>
    <dxf>
      <font>
        <name val="Arial"/>
        <charset val="1"/>
        <family val="0"/>
        <b val="1"/>
        <color rgb="FFC00000"/>
      </font>
      <fill>
        <patternFill>
          <bgColor rgb="FFFFFFFF"/>
        </patternFill>
      </fill>
    </dxf>
    <dxf>
      <font>
        <name val="Arial"/>
        <charset val="1"/>
        <family val="0"/>
        <b val="1"/>
        <color rgb="FFC55A11"/>
      </font>
      <fill>
        <patternFill>
          <bgColor rgb="FFFFFFFF"/>
        </patternFill>
      </fill>
    </dxf>
    <dxf>
      <font>
        <name val="Arial"/>
        <charset val="1"/>
        <family val="0"/>
        <b val="1"/>
        <color rgb="FF548235"/>
      </font>
      <fill>
        <patternFill>
          <bgColor rgb="FFFFFFFF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8CBAD"/>
        </patternFill>
      </fill>
    </dxf>
    <dxf>
      <font>
        <name val="Arial"/>
        <charset val="1"/>
        <family val="0"/>
        <b val="1"/>
        <color rgb="FF7F6000"/>
      </font>
      <fill>
        <patternFill>
          <bgColor rgb="FFFFE699"/>
        </patternFill>
      </fill>
    </dxf>
    <dxf>
      <font>
        <name val="Arial"/>
        <charset val="1"/>
        <family val="0"/>
        <color rgb="FF1F4E79"/>
      </font>
      <fill>
        <patternFill>
          <bgColor rgb="FFDDEBF7"/>
        </patternFill>
      </fill>
    </dxf>
    <dxf>
      <font>
        <name val="Arial"/>
        <charset val="1"/>
        <family val="0"/>
        <color rgb="FF375623"/>
      </font>
      <fill>
        <patternFill>
          <bgColor rgb="FFE2EFDA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BFBFBF"/>
      <rgbColor rgb="FF7F7F7F"/>
      <rgbColor rgb="FF9999FF"/>
      <rgbColor rgb="FF993366"/>
      <rgbColor rgb="FFFFF3CD"/>
      <rgbColor rgb="FFDDEBF7"/>
      <rgbColor rgb="FF660066"/>
      <rgbColor rgb="FFFF8080"/>
      <rgbColor rgb="FF0066CC"/>
      <rgbColor rgb="FFE2EF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1F8"/>
      <rgbColor rgb="FFD4EDDA"/>
      <rgbColor rgb="FFFFE699"/>
      <rgbColor rgb="FFFFF2CC"/>
      <rgbColor rgb="FFFDE2E2"/>
      <rgbColor rgb="FFCC99FF"/>
      <rgbColor rgb="FFF8CBAD"/>
      <rgbColor rgb="FF3366FF"/>
      <rgbColor rgb="FF33CCCC"/>
      <rgbColor rgb="FF99CC00"/>
      <rgbColor rgb="FFFFCC00"/>
      <rgbColor rgb="FFFF9900"/>
      <rgbColor rgb="FFC55A11"/>
      <rgbColor rgb="FF595959"/>
      <rgbColor rgb="FF969696"/>
      <rgbColor rgb="FF003366"/>
      <rgbColor rgb="FF548235"/>
      <rgbColor rgb="FF155724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B2:D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6"/>
    <col collapsed="false" customWidth="true" hidden="false" outlineLevel="0" max="3" min="3" style="0" width="14"/>
    <col collapsed="false" customWidth="true" hidden="false" outlineLevel="0" max="4" min="4" style="0" width="60"/>
  </cols>
  <sheetData>
    <row r="2" customFormat="false" ht="26.8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6.15" hidden="false" customHeight="false" outlineLevel="0" collapsed="false">
      <c r="B5" s="3" t="s">
        <v>2</v>
      </c>
    </row>
    <row r="6" customFormat="false" ht="30" hidden="false" customHeight="true" outlineLevel="0" collapsed="false">
      <c r="B6" s="4" t="s">
        <v>3</v>
      </c>
      <c r="C6" s="4"/>
      <c r="D6" s="4"/>
    </row>
    <row r="7" customFormat="false" ht="30" hidden="false" customHeight="true" outlineLevel="0" collapsed="false">
      <c r="B7" s="4" t="s">
        <v>4</v>
      </c>
      <c r="C7" s="4"/>
      <c r="D7" s="4"/>
    </row>
    <row r="8" customFormat="false" ht="30" hidden="false" customHeight="true" outlineLevel="0" collapsed="false">
      <c r="B8" s="4" t="s">
        <v>5</v>
      </c>
      <c r="C8" s="4"/>
      <c r="D8" s="4"/>
    </row>
    <row r="9" customFormat="false" ht="30" hidden="false" customHeight="true" outlineLevel="0" collapsed="false">
      <c r="B9" s="4" t="s">
        <v>6</v>
      </c>
      <c r="C9" s="4"/>
      <c r="D9" s="4"/>
    </row>
    <row r="11" customFormat="false" ht="16.15" hidden="false" customHeight="false" outlineLevel="0" collapsed="false">
      <c r="B11" s="3" t="s">
        <v>7</v>
      </c>
    </row>
    <row r="12" customFormat="false" ht="15" hidden="false" customHeight="false" outlineLevel="0" collapsed="false">
      <c r="B12" s="5" t="s">
        <v>8</v>
      </c>
    </row>
    <row r="13" customFormat="false" ht="15" hidden="false" customHeight="false" outlineLevel="0" collapsed="false">
      <c r="B13" s="6" t="s">
        <v>9</v>
      </c>
    </row>
    <row r="15" customFormat="false" ht="16.15" hidden="false" customHeight="false" outlineLevel="0" collapsed="false">
      <c r="B15" s="3" t="s">
        <v>10</v>
      </c>
    </row>
    <row r="16" customFormat="false" ht="15" hidden="false" customHeight="false" outlineLevel="0" collapsed="false">
      <c r="B16" s="7" t="s">
        <v>11</v>
      </c>
      <c r="C16" s="8" t="n">
        <v>2</v>
      </c>
      <c r="D16" s="9" t="s">
        <v>12</v>
      </c>
    </row>
    <row r="17" customFormat="false" ht="15" hidden="false" customHeight="false" outlineLevel="0" collapsed="false">
      <c r="B17" s="7" t="s">
        <v>13</v>
      </c>
      <c r="C17" s="8" t="n">
        <v>3</v>
      </c>
    </row>
    <row r="19" customFormat="false" ht="16.15" hidden="false" customHeight="false" outlineLevel="0" collapsed="false">
      <c r="B19" s="3" t="s">
        <v>14</v>
      </c>
    </row>
    <row r="20" customFormat="false" ht="30" hidden="false" customHeight="true" outlineLevel="0" collapsed="false">
      <c r="B20" s="4" t="s">
        <v>15</v>
      </c>
      <c r="C20" s="4"/>
      <c r="D20" s="4"/>
    </row>
    <row r="21" customFormat="false" ht="30" hidden="false" customHeight="true" outlineLevel="0" collapsed="false">
      <c r="B21" s="4" t="s">
        <v>16</v>
      </c>
      <c r="C21" s="4"/>
      <c r="D21" s="4"/>
    </row>
    <row r="22" customFormat="false" ht="30" hidden="false" customHeight="true" outlineLevel="0" collapsed="false">
      <c r="B22" s="4" t="s">
        <v>17</v>
      </c>
      <c r="C22" s="4"/>
      <c r="D22" s="4"/>
    </row>
    <row r="23" customFormat="false" ht="30" hidden="false" customHeight="true" outlineLevel="0" collapsed="false">
      <c r="B23" s="4" t="s">
        <v>18</v>
      </c>
      <c r="C23" s="4"/>
      <c r="D23" s="4"/>
    </row>
  </sheetData>
  <mergeCells count="8">
    <mergeCell ref="B6:D6"/>
    <mergeCell ref="B7:D7"/>
    <mergeCell ref="B8:D8"/>
    <mergeCell ref="B9:D9"/>
    <mergeCell ref="B20:D20"/>
    <mergeCell ref="B21:D21"/>
    <mergeCell ref="B22:D22"/>
    <mergeCell ref="B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3" min="3" style="0" width="18"/>
  </cols>
  <sheetData>
    <row r="1" customFormat="false" ht="31.5" hidden="false" customHeight="true" outlineLevel="0" collapsed="false">
      <c r="A1" s="10" t="s">
        <v>19</v>
      </c>
      <c r="B1" s="10" t="s">
        <v>20</v>
      </c>
      <c r="C1" s="11" t="s">
        <v>21</v>
      </c>
      <c r="E1" s="9" t="s">
        <v>22</v>
      </c>
    </row>
    <row r="2" customFormat="false" ht="15" hidden="false" customHeight="false" outlineLevel="0" collapsed="false">
      <c r="A2" s="12" t="s">
        <v>23</v>
      </c>
      <c r="B2" s="13" t="n">
        <v>3</v>
      </c>
      <c r="C2" s="14" t="n">
        <f aca="false">IF(OR(A2="",B2=""),"",IF(SUM($B$2:$B$13)=0,"",B2/SUM($B$2:$B$13)))</f>
        <v>0.25</v>
      </c>
    </row>
    <row r="3" customFormat="false" ht="15" hidden="false" customHeight="false" outlineLevel="0" collapsed="false">
      <c r="A3" s="12" t="s">
        <v>24</v>
      </c>
      <c r="B3" s="13" t="n">
        <v>4</v>
      </c>
      <c r="C3" s="14" t="n">
        <f aca="false">IF(OR(A3="",B3=""),"",IF(SUM($B$2:$B$13)=0,"",B3/SUM($B$2:$B$13)))</f>
        <v>0.333333333333333</v>
      </c>
    </row>
    <row r="4" customFormat="false" ht="15" hidden="false" customHeight="false" outlineLevel="0" collapsed="false">
      <c r="A4" s="12" t="s">
        <v>25</v>
      </c>
      <c r="B4" s="13" t="n">
        <v>2</v>
      </c>
      <c r="C4" s="14" t="n">
        <f aca="false">IF(OR(A4="",B4=""),"",IF(SUM($B$2:$B$13)=0,"",B4/SUM($B$2:$B$13)))</f>
        <v>0.166666666666667</v>
      </c>
    </row>
    <row r="5" customFormat="false" ht="15" hidden="false" customHeight="false" outlineLevel="0" collapsed="false">
      <c r="A5" s="12" t="s">
        <v>26</v>
      </c>
      <c r="B5" s="13" t="n">
        <v>3</v>
      </c>
      <c r="C5" s="14" t="n">
        <f aca="false">IF(OR(A5="",B5=""),"",IF(SUM($B$2:$B$13)=0,"",B5/SUM($B$2:$B$13)))</f>
        <v>0.25</v>
      </c>
    </row>
    <row r="6" customFormat="false" ht="15" hidden="false" customHeight="false" outlineLevel="0" collapsed="false">
      <c r="A6" s="12"/>
      <c r="B6" s="13"/>
      <c r="C6" s="14" t="str">
        <f aca="false">IF(OR(A6="",B6=""),"",IF(SUM($B$2:$B$13)=0,"",B6/SUM($B$2:$B$13)))</f>
        <v/>
      </c>
    </row>
    <row r="7" customFormat="false" ht="15" hidden="false" customHeight="false" outlineLevel="0" collapsed="false">
      <c r="A7" s="12"/>
      <c r="B7" s="13"/>
      <c r="C7" s="14" t="str">
        <f aca="false">IF(OR(A7="",B7=""),"",IF(SUM($B$2:$B$13)=0,"",B7/SUM($B$2:$B$13)))</f>
        <v/>
      </c>
    </row>
    <row r="8" customFormat="false" ht="15" hidden="false" customHeight="false" outlineLevel="0" collapsed="false">
      <c r="A8" s="12"/>
      <c r="B8" s="13"/>
      <c r="C8" s="14" t="str">
        <f aca="false">IF(OR(A8="",B8=""),"",IF(SUM($B$2:$B$13)=0,"",B8/SUM($B$2:$B$13)))</f>
        <v/>
      </c>
    </row>
    <row r="9" customFormat="false" ht="15" hidden="false" customHeight="false" outlineLevel="0" collapsed="false">
      <c r="A9" s="12"/>
      <c r="B9" s="13"/>
      <c r="C9" s="14" t="str">
        <f aca="false">IF(OR(A9="",B9=""),"",IF(SUM($B$2:$B$13)=0,"",B9/SUM($B$2:$B$13)))</f>
        <v/>
      </c>
    </row>
    <row r="10" customFormat="false" ht="15" hidden="false" customHeight="false" outlineLevel="0" collapsed="false">
      <c r="A10" s="12"/>
      <c r="B10" s="13"/>
      <c r="C10" s="14" t="str">
        <f aca="false">IF(OR(A10="",B10=""),"",IF(SUM($B$2:$B$13)=0,"",B10/SUM($B$2:$B$13)))</f>
        <v/>
      </c>
    </row>
    <row r="11" customFormat="false" ht="15" hidden="false" customHeight="false" outlineLevel="0" collapsed="false">
      <c r="A11" s="12"/>
      <c r="B11" s="13"/>
      <c r="C11" s="14" t="str">
        <f aca="false">IF(OR(A11="",B11=""),"",IF(SUM($B$2:$B$13)=0,"",B11/SUM($B$2:$B$13)))</f>
        <v/>
      </c>
    </row>
    <row r="12" customFormat="false" ht="15" hidden="false" customHeight="false" outlineLevel="0" collapsed="false">
      <c r="A12" s="12"/>
      <c r="B12" s="13"/>
      <c r="C12" s="14" t="str">
        <f aca="false">IF(OR(A12="",B12=""),"",IF(SUM($B$2:$B$13)=0,"",B12/SUM($B$2:$B$13)))</f>
        <v/>
      </c>
    </row>
    <row r="13" customFormat="false" ht="15" hidden="false" customHeight="false" outlineLevel="0" collapsed="false">
      <c r="A13" s="12"/>
      <c r="B13" s="13"/>
      <c r="C13" s="14" t="str">
        <f aca="false">IF(OR(A13="",B13=""),"",IF(SUM($B$2:$B$13)=0,"",B13/SUM($B$2:$B$13)))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K2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26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16"/>
    <col collapsed="false" customWidth="true" hidden="true" outlineLevel="0" max="11" min="10" style="0" width="13"/>
  </cols>
  <sheetData>
    <row r="1" customFormat="false" ht="31.5" hidden="false" customHeight="true" outlineLevel="0" collapsed="false">
      <c r="A1" s="10" t="s">
        <v>27</v>
      </c>
      <c r="B1" s="10" t="s">
        <v>19</v>
      </c>
      <c r="C1" s="10" t="s">
        <v>28</v>
      </c>
      <c r="D1" s="10" t="s">
        <v>29</v>
      </c>
      <c r="E1" s="10" t="s">
        <v>30</v>
      </c>
      <c r="F1" s="10" t="s">
        <v>31</v>
      </c>
      <c r="G1" s="10" t="s">
        <v>32</v>
      </c>
      <c r="H1" s="11" t="s">
        <v>33</v>
      </c>
      <c r="I1" s="11" t="s">
        <v>34</v>
      </c>
      <c r="J1" s="11" t="s">
        <v>35</v>
      </c>
      <c r="K1" s="11" t="s">
        <v>36</v>
      </c>
    </row>
    <row r="2" customFormat="false" ht="15" hidden="false" customHeight="false" outlineLevel="0" collapsed="false">
      <c r="A2" s="12" t="s">
        <v>37</v>
      </c>
      <c r="B2" s="12" t="s">
        <v>23</v>
      </c>
      <c r="C2" s="15" t="n">
        <v>46297</v>
      </c>
      <c r="D2" s="16" t="n">
        <v>0.999305555555556</v>
      </c>
      <c r="E2" s="17" t="s">
        <v>38</v>
      </c>
      <c r="F2" s="17" t="s">
        <v>39</v>
      </c>
      <c r="G2" s="17" t="s">
        <v>40</v>
      </c>
      <c r="H2" s="18" t="n">
        <f aca="true">IF(OR(A2="",C2=""),"",C2-TODAY())</f>
        <v>3</v>
      </c>
      <c r="I2" s="19" t="str">
        <f aca="true">IF(OR(A2="",C2=""),"",IF(G2="Terminada","Hecha",IF(C2&lt;TODAY(),"Vencida",IF(C2-TODAY()&lt;=Instrucciones!$C$16,"Urgente",IF(E2&lt;&gt;"Sí","Verificar fecha","")))))</f>
        <v/>
      </c>
      <c r="J2" s="20" t="n">
        <f aca="true">IF(OR($A2="",$C2="",$G2="Terminada"),"",IF($C2&lt;=TODAY()+6,$C2+ROW()/100000,""))</f>
        <v>46297.00002</v>
      </c>
      <c r="K2" s="21" t="n">
        <f aca="false">IF(J2="","",COUNTIF($J$2:$J$201,"&lt;"&amp;J2)+1)</f>
        <v>3</v>
      </c>
    </row>
    <row r="3" customFormat="false" ht="15" hidden="false" customHeight="false" outlineLevel="0" collapsed="false">
      <c r="A3" s="12" t="s">
        <v>41</v>
      </c>
      <c r="B3" s="12" t="s">
        <v>24</v>
      </c>
      <c r="C3" s="15" t="n">
        <v>46295</v>
      </c>
      <c r="D3" s="16" t="n">
        <v>0.833333333333333</v>
      </c>
      <c r="E3" s="17" t="s">
        <v>42</v>
      </c>
      <c r="F3" s="17" t="s">
        <v>39</v>
      </c>
      <c r="G3" s="17" t="s">
        <v>43</v>
      </c>
      <c r="H3" s="18" t="n">
        <f aca="true">IF(OR(A3="",C3=""),"",C3-TODAY())</f>
        <v>1</v>
      </c>
      <c r="I3" s="19" t="str">
        <f aca="true">IF(OR(A3="",C3=""),"",IF(G3="Terminada","Hecha",IF(C3&lt;TODAY(),"Vencida",IF(C3-TODAY()&lt;=Instrucciones!$C$16,"Urgente",IF(E3&lt;&gt;"Sí","Verificar fecha","")))))</f>
        <v>Urgente</v>
      </c>
      <c r="J3" s="20" t="n">
        <f aca="true">IF(OR($A3="",$C3="",$G3="Terminada"),"",IF($C3&lt;=TODAY()+6,$C3+ROW()/100000,""))</f>
        <v>46295.00003</v>
      </c>
      <c r="K3" s="21" t="n">
        <f aca="false">IF(J3="","",COUNTIF($J$2:$J$201,"&lt;"&amp;J3)+1)</f>
        <v>2</v>
      </c>
    </row>
    <row r="4" customFormat="false" ht="15" hidden="false" customHeight="false" outlineLevel="0" collapsed="false">
      <c r="A4" s="12" t="s">
        <v>44</v>
      </c>
      <c r="B4" s="12" t="s">
        <v>25</v>
      </c>
      <c r="C4" s="15" t="n">
        <v>46300</v>
      </c>
      <c r="D4" s="16" t="n">
        <v>0.999305555555556</v>
      </c>
      <c r="E4" s="17" t="s">
        <v>38</v>
      </c>
      <c r="F4" s="17" t="s">
        <v>45</v>
      </c>
      <c r="G4" s="17" t="s">
        <v>43</v>
      </c>
      <c r="H4" s="18" t="n">
        <f aca="true">IF(OR(A4="",C4=""),"",C4-TODAY())</f>
        <v>6</v>
      </c>
      <c r="I4" s="19" t="str">
        <f aca="true">IF(OR(A4="",C4=""),"",IF(G4="Terminada","Hecha",IF(C4&lt;TODAY(),"Vencida",IF(C4-TODAY()&lt;=Instrucciones!$C$16,"Urgente",IF(E4&lt;&gt;"Sí","Verificar fecha","")))))</f>
        <v/>
      </c>
      <c r="J4" s="20" t="n">
        <f aca="true">IF(OR($A4="",$C4="",$G4="Terminada"),"",IF($C4&lt;=TODAY()+6,$C4+ROW()/100000,""))</f>
        <v>46300.00004</v>
      </c>
      <c r="K4" s="21" t="n">
        <f aca="false">IF(J4="","",COUNTIF($J$2:$J$201,"&lt;"&amp;J4)+1)</f>
        <v>4</v>
      </c>
    </row>
    <row r="5" customFormat="false" ht="15" hidden="false" customHeight="false" outlineLevel="0" collapsed="false">
      <c r="A5" s="12" t="s">
        <v>46</v>
      </c>
      <c r="B5" s="12" t="s">
        <v>26</v>
      </c>
      <c r="C5" s="15" t="n">
        <v>46304</v>
      </c>
      <c r="D5" s="16" t="n">
        <v>0.999305555555556</v>
      </c>
      <c r="E5" s="17" t="s">
        <v>38</v>
      </c>
      <c r="F5" s="17" t="s">
        <v>39</v>
      </c>
      <c r="G5" s="17" t="s">
        <v>43</v>
      </c>
      <c r="H5" s="18" t="n">
        <f aca="true">IF(OR(A5="",C5=""),"",C5-TODAY())</f>
        <v>10</v>
      </c>
      <c r="I5" s="19" t="str">
        <f aca="true">IF(OR(A5="",C5=""),"",IF(G5="Terminada","Hecha",IF(C5&lt;TODAY(),"Vencida",IF(C5-TODAY()&lt;=Instrucciones!$C$16,"Urgente",IF(E5&lt;&gt;"Sí","Verificar fecha","")))))</f>
        <v/>
      </c>
      <c r="J5" s="0" t="str">
        <f aca="true">IF(OR($A5="",$C5="",$G5="Terminada"),"",IF($C5&lt;=TODAY()+6,$C5+ROW()/100000,""))</f>
        <v/>
      </c>
      <c r="K5" s="0" t="str">
        <f aca="false">IF(J5="","",COUNTIF($J$2:$J$201,"&lt;"&amp;J5)+1)</f>
        <v/>
      </c>
    </row>
    <row r="6" customFormat="false" ht="15" hidden="false" customHeight="false" outlineLevel="0" collapsed="false">
      <c r="A6" s="12" t="s">
        <v>47</v>
      </c>
      <c r="B6" s="12" t="s">
        <v>23</v>
      </c>
      <c r="C6" s="15" t="n">
        <v>46302</v>
      </c>
      <c r="D6" s="16" t="n">
        <v>0.791666666666667</v>
      </c>
      <c r="E6" s="17" t="s">
        <v>38</v>
      </c>
      <c r="F6" s="17" t="s">
        <v>39</v>
      </c>
      <c r="G6" s="17" t="s">
        <v>43</v>
      </c>
      <c r="H6" s="18" t="n">
        <f aca="true">IF(OR(A6="",C6=""),"",C6-TODAY())</f>
        <v>8</v>
      </c>
      <c r="I6" s="19" t="str">
        <f aca="true">IF(OR(A6="",C6=""),"",IF(G6="Terminada","Hecha",IF(C6&lt;TODAY(),"Vencida",IF(C6-TODAY()&lt;=Instrucciones!$C$16,"Urgente",IF(E6&lt;&gt;"Sí","Verificar fecha","")))))</f>
        <v/>
      </c>
      <c r="J6" s="0" t="str">
        <f aca="true">IF(OR($A6="",$C6="",$G6="Terminada"),"",IF($C6&lt;=TODAY()+6,$C6+ROW()/100000,""))</f>
        <v/>
      </c>
      <c r="K6" s="0" t="str">
        <f aca="false">IF(J6="","",COUNTIF($J$2:$J$201,"&lt;"&amp;J6)+1)</f>
        <v/>
      </c>
    </row>
    <row r="7" customFormat="false" ht="15" hidden="false" customHeight="false" outlineLevel="0" collapsed="false">
      <c r="A7" s="12" t="s">
        <v>48</v>
      </c>
      <c r="B7" s="12" t="s">
        <v>24</v>
      </c>
      <c r="C7" s="15" t="n">
        <v>46307</v>
      </c>
      <c r="D7" s="16" t="n">
        <v>0.999305555555556</v>
      </c>
      <c r="E7" s="17" t="s">
        <v>42</v>
      </c>
      <c r="F7" s="17" t="s">
        <v>45</v>
      </c>
      <c r="G7" s="17" t="s">
        <v>43</v>
      </c>
      <c r="H7" s="18" t="n">
        <f aca="true">IF(OR(A7="",C7=""),"",C7-TODAY())</f>
        <v>13</v>
      </c>
      <c r="I7" s="19" t="str">
        <f aca="true">IF(OR(A7="",C7=""),"",IF(G7="Terminada","Hecha",IF(C7&lt;TODAY(),"Vencida",IF(C7-TODAY()&lt;=Instrucciones!$C$16,"Urgente",IF(E7&lt;&gt;"Sí","Verificar fecha","")))))</f>
        <v>Verificar fecha</v>
      </c>
      <c r="J7" s="0" t="str">
        <f aca="true">IF(OR($A7="",$C7="",$G7="Terminada"),"",IF($C7&lt;=TODAY()+6,$C7+ROW()/100000,""))</f>
        <v/>
      </c>
      <c r="K7" s="0" t="str">
        <f aca="false">IF(J7="","",COUNTIF($J$2:$J$201,"&lt;"&amp;J7)+1)</f>
        <v/>
      </c>
    </row>
    <row r="8" customFormat="false" ht="15" hidden="false" customHeight="false" outlineLevel="0" collapsed="false">
      <c r="A8" s="12" t="s">
        <v>49</v>
      </c>
      <c r="B8" s="12" t="s">
        <v>26</v>
      </c>
      <c r="C8" s="15" t="n">
        <v>46292</v>
      </c>
      <c r="D8" s="16" t="n">
        <v>0.999305555555556</v>
      </c>
      <c r="E8" s="17" t="s">
        <v>38</v>
      </c>
      <c r="F8" s="17" t="s">
        <v>50</v>
      </c>
      <c r="G8" s="17" t="s">
        <v>51</v>
      </c>
      <c r="H8" s="18" t="n">
        <f aca="true">IF(OR(A8="",C8=""),"",C8-TODAY())</f>
        <v>-2</v>
      </c>
      <c r="I8" s="19" t="str">
        <f aca="true">IF(OR(A8="",C8=""),"",IF(G8="Terminada","Hecha",IF(C8&lt;TODAY(),"Vencida",IF(C8-TODAY()&lt;=Instrucciones!$C$16,"Urgente",IF(E8&lt;&gt;"Sí","Verificar fecha","")))))</f>
        <v>Hecha</v>
      </c>
      <c r="J8" s="0" t="str">
        <f aca="true">IF(OR($A8="",$C8="",$G8="Terminada"),"",IF($C8&lt;=TODAY()+6,$C8+ROW()/100000,""))</f>
        <v/>
      </c>
      <c r="K8" s="0" t="str">
        <f aca="false">IF(J8="","",COUNTIF($J$2:$J$201,"&lt;"&amp;J8)+1)</f>
        <v/>
      </c>
    </row>
    <row r="9" customFormat="false" ht="15" hidden="false" customHeight="false" outlineLevel="0" collapsed="false">
      <c r="A9" s="12" t="s">
        <v>52</v>
      </c>
      <c r="B9" s="12" t="s">
        <v>25</v>
      </c>
      <c r="C9" s="15" t="n">
        <v>46293</v>
      </c>
      <c r="D9" s="16" t="n">
        <v>0.999305555555556</v>
      </c>
      <c r="E9" s="17" t="s">
        <v>38</v>
      </c>
      <c r="F9" s="17" t="s">
        <v>50</v>
      </c>
      <c r="G9" s="17" t="s">
        <v>40</v>
      </c>
      <c r="H9" s="18" t="n">
        <f aca="true">IF(OR(A9="",C9=""),"",C9-TODAY())</f>
        <v>-1</v>
      </c>
      <c r="I9" s="19" t="str">
        <f aca="true">IF(OR(A9="",C9=""),"",IF(G9="Terminada","Hecha",IF(C9&lt;TODAY(),"Vencida",IF(C9-TODAY()&lt;=Instrucciones!$C$16,"Urgente",IF(E9&lt;&gt;"Sí","Verificar fecha","")))))</f>
        <v>Vencida</v>
      </c>
      <c r="J9" s="20" t="n">
        <f aca="true">IF(OR($A9="",$C9="",$G9="Terminada"),"",IF($C9&lt;=TODAY()+6,$C9+ROW()/100000,""))</f>
        <v>46293.00009</v>
      </c>
      <c r="K9" s="21" t="n">
        <f aca="false">IF(J9="","",COUNTIF($J$2:$J$201,"&lt;"&amp;J9)+1)</f>
        <v>1</v>
      </c>
    </row>
    <row r="10" customFormat="false" ht="15" hidden="false" customHeight="false" outlineLevel="0" collapsed="false">
      <c r="A10" s="12" t="s">
        <v>53</v>
      </c>
      <c r="B10" s="12" t="s">
        <v>23</v>
      </c>
      <c r="C10" s="15" t="n">
        <v>46311</v>
      </c>
      <c r="D10" s="16" t="n">
        <v>0.999305555555556</v>
      </c>
      <c r="E10" s="17" t="s">
        <v>38</v>
      </c>
      <c r="F10" s="17" t="s">
        <v>45</v>
      </c>
      <c r="G10" s="17" t="s">
        <v>43</v>
      </c>
      <c r="H10" s="18" t="n">
        <f aca="true">IF(OR(A10="",C10=""),"",C10-TODAY())</f>
        <v>17</v>
      </c>
      <c r="I10" s="19" t="str">
        <f aca="true">IF(OR(A10="",C10=""),"",IF(G10="Terminada","Hecha",IF(C10&lt;TODAY(),"Vencida",IF(C10-TODAY()&lt;=Instrucciones!$C$16,"Urgente",IF(E10&lt;&gt;"Sí","Verificar fecha","")))))</f>
        <v/>
      </c>
      <c r="J10" s="0" t="str">
        <f aca="true">IF(OR($A10="",$C10="",$G10="Terminada"),"",IF($C10&lt;=TODAY()+6,$C10+ROW()/100000,""))</f>
        <v/>
      </c>
      <c r="K10" s="0" t="str">
        <f aca="false">IF(J10="","",COUNTIF($J$2:$J$201,"&lt;"&amp;J10)+1)</f>
        <v/>
      </c>
    </row>
    <row r="11" customFormat="false" ht="15" hidden="false" customHeight="false" outlineLevel="0" collapsed="false">
      <c r="A11" s="12"/>
      <c r="B11" s="12"/>
      <c r="C11" s="15"/>
      <c r="D11" s="16"/>
      <c r="E11" s="17"/>
      <c r="F11" s="17"/>
      <c r="G11" s="17"/>
      <c r="H11" s="18" t="str">
        <f aca="true">IF(OR(A11="",C11=""),"",C11-TODAY())</f>
        <v/>
      </c>
      <c r="I11" s="19" t="str">
        <f aca="true">IF(OR(A11="",C11=""),"",IF(G11="Terminada","Hecha",IF(C11&lt;TODAY(),"Vencida",IF(C11-TODAY()&lt;=Instrucciones!$C$16,"Urgente",IF(E11&lt;&gt;"Sí","Verificar fecha","")))))</f>
        <v/>
      </c>
      <c r="J11" s="0" t="str">
        <f aca="true">IF(OR($A11="",$C11="",$G11="Terminada"),"",IF($C11&lt;=TODAY()+6,$C11+ROW()/100000,""))</f>
        <v/>
      </c>
      <c r="K11" s="0" t="str">
        <f aca="false">IF(J11="","",COUNTIF($J$2:$J$201,"&lt;"&amp;J11)+1)</f>
        <v/>
      </c>
    </row>
    <row r="12" customFormat="false" ht="15" hidden="false" customHeight="false" outlineLevel="0" collapsed="false">
      <c r="A12" s="12"/>
      <c r="B12" s="12"/>
      <c r="C12" s="15"/>
      <c r="D12" s="16"/>
      <c r="E12" s="17"/>
      <c r="F12" s="17"/>
      <c r="G12" s="17"/>
      <c r="H12" s="18" t="str">
        <f aca="true">IF(OR(A12="",C12=""),"",C12-TODAY())</f>
        <v/>
      </c>
      <c r="I12" s="19" t="str">
        <f aca="true">IF(OR(A12="",C12=""),"",IF(G12="Terminada","Hecha",IF(C12&lt;TODAY(),"Vencida",IF(C12-TODAY()&lt;=Instrucciones!$C$16,"Urgente",IF(E12&lt;&gt;"Sí","Verificar fecha","")))))</f>
        <v/>
      </c>
      <c r="J12" s="0" t="str">
        <f aca="true">IF(OR($A12="",$C12="",$G12="Terminada"),"",IF($C12&lt;=TODAY()+6,$C12+ROW()/100000,""))</f>
        <v/>
      </c>
      <c r="K12" s="0" t="str">
        <f aca="false">IF(J12="","",COUNTIF($J$2:$J$201,"&lt;"&amp;J12)+1)</f>
        <v/>
      </c>
    </row>
    <row r="13" customFormat="false" ht="15" hidden="false" customHeight="false" outlineLevel="0" collapsed="false">
      <c r="A13" s="12"/>
      <c r="B13" s="12"/>
      <c r="C13" s="15"/>
      <c r="D13" s="16"/>
      <c r="E13" s="17"/>
      <c r="F13" s="17"/>
      <c r="G13" s="17"/>
      <c r="H13" s="18" t="str">
        <f aca="true">IF(OR(A13="",C13=""),"",C13-TODAY())</f>
        <v/>
      </c>
      <c r="I13" s="19" t="str">
        <f aca="true">IF(OR(A13="",C13=""),"",IF(G13="Terminada","Hecha",IF(C13&lt;TODAY(),"Vencida",IF(C13-TODAY()&lt;=Instrucciones!$C$16,"Urgente",IF(E13&lt;&gt;"Sí","Verificar fecha","")))))</f>
        <v/>
      </c>
      <c r="J13" s="0" t="str">
        <f aca="true">IF(OR($A13="",$C13="",$G13="Terminada"),"",IF($C13&lt;=TODAY()+6,$C13+ROW()/100000,""))</f>
        <v/>
      </c>
      <c r="K13" s="0" t="str">
        <f aca="false">IF(J13="","",COUNTIF($J$2:$J$201,"&lt;"&amp;J13)+1)</f>
        <v/>
      </c>
    </row>
    <row r="14" customFormat="false" ht="15" hidden="false" customHeight="false" outlineLevel="0" collapsed="false">
      <c r="A14" s="12"/>
      <c r="B14" s="12"/>
      <c r="C14" s="15"/>
      <c r="D14" s="16"/>
      <c r="E14" s="17"/>
      <c r="F14" s="17"/>
      <c r="G14" s="17"/>
      <c r="H14" s="18" t="str">
        <f aca="true">IF(OR(A14="",C14=""),"",C14-TODAY())</f>
        <v/>
      </c>
      <c r="I14" s="19" t="str">
        <f aca="true">IF(OR(A14="",C14=""),"",IF(G14="Terminada","Hecha",IF(C14&lt;TODAY(),"Vencida",IF(C14-TODAY()&lt;=Instrucciones!$C$16,"Urgente",IF(E14&lt;&gt;"Sí","Verificar fecha","")))))</f>
        <v/>
      </c>
      <c r="J14" s="0" t="str">
        <f aca="true">IF(OR($A14="",$C14="",$G14="Terminada"),"",IF($C14&lt;=TODAY()+6,$C14+ROW()/100000,""))</f>
        <v/>
      </c>
      <c r="K14" s="0" t="str">
        <f aca="false">IF(J14="","",COUNTIF($J$2:$J$201,"&lt;"&amp;J14)+1)</f>
        <v/>
      </c>
    </row>
    <row r="15" customFormat="false" ht="15" hidden="false" customHeight="false" outlineLevel="0" collapsed="false">
      <c r="A15" s="12"/>
      <c r="B15" s="12"/>
      <c r="C15" s="15"/>
      <c r="D15" s="16"/>
      <c r="E15" s="17"/>
      <c r="F15" s="17"/>
      <c r="G15" s="17"/>
      <c r="H15" s="18" t="str">
        <f aca="true">IF(OR(A15="",C15=""),"",C15-TODAY())</f>
        <v/>
      </c>
      <c r="I15" s="19" t="str">
        <f aca="true">IF(OR(A15="",C15=""),"",IF(G15="Terminada","Hecha",IF(C15&lt;TODAY(),"Vencida",IF(C15-TODAY()&lt;=Instrucciones!$C$16,"Urgente",IF(E15&lt;&gt;"Sí","Verificar fecha","")))))</f>
        <v/>
      </c>
      <c r="J15" s="0" t="str">
        <f aca="true">IF(OR($A15="",$C15="",$G15="Terminada"),"",IF($C15&lt;=TODAY()+6,$C15+ROW()/100000,""))</f>
        <v/>
      </c>
      <c r="K15" s="0" t="str">
        <f aca="false">IF(J15="","",COUNTIF($J$2:$J$201,"&lt;"&amp;J15)+1)</f>
        <v/>
      </c>
    </row>
    <row r="16" customFormat="false" ht="15" hidden="false" customHeight="false" outlineLevel="0" collapsed="false">
      <c r="A16" s="12"/>
      <c r="B16" s="12"/>
      <c r="C16" s="15"/>
      <c r="D16" s="16"/>
      <c r="E16" s="17"/>
      <c r="F16" s="17"/>
      <c r="G16" s="17"/>
      <c r="H16" s="18" t="str">
        <f aca="true">IF(OR(A16="",C16=""),"",C16-TODAY())</f>
        <v/>
      </c>
      <c r="I16" s="19" t="str">
        <f aca="true">IF(OR(A16="",C16=""),"",IF(G16="Terminada","Hecha",IF(C16&lt;TODAY(),"Vencida",IF(C16-TODAY()&lt;=Instrucciones!$C$16,"Urgente",IF(E16&lt;&gt;"Sí","Verificar fecha","")))))</f>
        <v/>
      </c>
      <c r="J16" s="0" t="str">
        <f aca="true">IF(OR($A16="",$C16="",$G16="Terminada"),"",IF($C16&lt;=TODAY()+6,$C16+ROW()/100000,""))</f>
        <v/>
      </c>
      <c r="K16" s="0" t="str">
        <f aca="false">IF(J16="","",COUNTIF($J$2:$J$201,"&lt;"&amp;J16)+1)</f>
        <v/>
      </c>
    </row>
    <row r="17" customFormat="false" ht="15" hidden="false" customHeight="false" outlineLevel="0" collapsed="false">
      <c r="A17" s="12"/>
      <c r="B17" s="12"/>
      <c r="C17" s="15"/>
      <c r="D17" s="16"/>
      <c r="E17" s="17"/>
      <c r="F17" s="17"/>
      <c r="G17" s="17"/>
      <c r="H17" s="18" t="str">
        <f aca="true">IF(OR(A17="",C17=""),"",C17-TODAY())</f>
        <v/>
      </c>
      <c r="I17" s="19" t="str">
        <f aca="true">IF(OR(A17="",C17=""),"",IF(G17="Terminada","Hecha",IF(C17&lt;TODAY(),"Vencida",IF(C17-TODAY()&lt;=Instrucciones!$C$16,"Urgente",IF(E17&lt;&gt;"Sí","Verificar fecha","")))))</f>
        <v/>
      </c>
      <c r="J17" s="0" t="str">
        <f aca="true">IF(OR($A17="",$C17="",$G17="Terminada"),"",IF($C17&lt;=TODAY()+6,$C17+ROW()/100000,""))</f>
        <v/>
      </c>
      <c r="K17" s="0" t="str">
        <f aca="false">IF(J17="","",COUNTIF($J$2:$J$201,"&lt;"&amp;J17)+1)</f>
        <v/>
      </c>
    </row>
    <row r="18" customFormat="false" ht="15" hidden="false" customHeight="false" outlineLevel="0" collapsed="false">
      <c r="A18" s="12"/>
      <c r="B18" s="12"/>
      <c r="C18" s="15"/>
      <c r="D18" s="16"/>
      <c r="E18" s="17"/>
      <c r="F18" s="17"/>
      <c r="G18" s="17"/>
      <c r="H18" s="18" t="str">
        <f aca="true">IF(OR(A18="",C18=""),"",C18-TODAY())</f>
        <v/>
      </c>
      <c r="I18" s="19" t="str">
        <f aca="true">IF(OR(A18="",C18=""),"",IF(G18="Terminada","Hecha",IF(C18&lt;TODAY(),"Vencida",IF(C18-TODAY()&lt;=Instrucciones!$C$16,"Urgente",IF(E18&lt;&gt;"Sí","Verificar fecha","")))))</f>
        <v/>
      </c>
      <c r="J18" s="0" t="str">
        <f aca="true">IF(OR($A18="",$C18="",$G18="Terminada"),"",IF($C18&lt;=TODAY()+6,$C18+ROW()/100000,""))</f>
        <v/>
      </c>
      <c r="K18" s="0" t="str">
        <f aca="false">IF(J18="","",COUNTIF($J$2:$J$201,"&lt;"&amp;J18)+1)</f>
        <v/>
      </c>
    </row>
    <row r="19" customFormat="false" ht="15" hidden="false" customHeight="false" outlineLevel="0" collapsed="false">
      <c r="A19" s="12"/>
      <c r="B19" s="12"/>
      <c r="C19" s="15"/>
      <c r="D19" s="16"/>
      <c r="E19" s="17"/>
      <c r="F19" s="17"/>
      <c r="G19" s="17"/>
      <c r="H19" s="18" t="str">
        <f aca="true">IF(OR(A19="",C19=""),"",C19-TODAY())</f>
        <v/>
      </c>
      <c r="I19" s="19" t="str">
        <f aca="true">IF(OR(A19="",C19=""),"",IF(G19="Terminada","Hecha",IF(C19&lt;TODAY(),"Vencida",IF(C19-TODAY()&lt;=Instrucciones!$C$16,"Urgente",IF(E19&lt;&gt;"Sí","Verificar fecha","")))))</f>
        <v/>
      </c>
      <c r="J19" s="0" t="str">
        <f aca="true">IF(OR($A19="",$C19="",$G19="Terminada"),"",IF($C19&lt;=TODAY()+6,$C19+ROW()/100000,""))</f>
        <v/>
      </c>
      <c r="K19" s="0" t="str">
        <f aca="false">IF(J19="","",COUNTIF($J$2:$J$201,"&lt;"&amp;J19)+1)</f>
        <v/>
      </c>
    </row>
    <row r="20" customFormat="false" ht="15" hidden="false" customHeight="false" outlineLevel="0" collapsed="false">
      <c r="A20" s="12"/>
      <c r="B20" s="12"/>
      <c r="C20" s="15"/>
      <c r="D20" s="16"/>
      <c r="E20" s="17"/>
      <c r="F20" s="17"/>
      <c r="G20" s="17"/>
      <c r="H20" s="18" t="str">
        <f aca="true">IF(OR(A20="",C20=""),"",C20-TODAY())</f>
        <v/>
      </c>
      <c r="I20" s="19" t="str">
        <f aca="true">IF(OR(A20="",C20=""),"",IF(G20="Terminada","Hecha",IF(C20&lt;TODAY(),"Vencida",IF(C20-TODAY()&lt;=Instrucciones!$C$16,"Urgente",IF(E20&lt;&gt;"Sí","Verificar fecha","")))))</f>
        <v/>
      </c>
      <c r="J20" s="0" t="str">
        <f aca="true">IF(OR($A20="",$C20="",$G20="Terminada"),"",IF($C20&lt;=TODAY()+6,$C20+ROW()/100000,""))</f>
        <v/>
      </c>
      <c r="K20" s="0" t="str">
        <f aca="false">IF(J20="","",COUNTIF($J$2:$J$201,"&lt;"&amp;J20)+1)</f>
        <v/>
      </c>
    </row>
    <row r="21" customFormat="false" ht="15" hidden="false" customHeight="false" outlineLevel="0" collapsed="false">
      <c r="A21" s="12"/>
      <c r="B21" s="12"/>
      <c r="C21" s="15"/>
      <c r="D21" s="16"/>
      <c r="E21" s="17"/>
      <c r="F21" s="17"/>
      <c r="G21" s="17"/>
      <c r="H21" s="18" t="str">
        <f aca="true">IF(OR(A21="",C21=""),"",C21-TODAY())</f>
        <v/>
      </c>
      <c r="I21" s="19" t="str">
        <f aca="true">IF(OR(A21="",C21=""),"",IF(G21="Terminada","Hecha",IF(C21&lt;TODAY(),"Vencida",IF(C21-TODAY()&lt;=Instrucciones!$C$16,"Urgente",IF(E21&lt;&gt;"Sí","Verificar fecha","")))))</f>
        <v/>
      </c>
      <c r="J21" s="0" t="str">
        <f aca="true">IF(OR($A21="",$C21="",$G21="Terminada"),"",IF($C21&lt;=TODAY()+6,$C21+ROW()/100000,""))</f>
        <v/>
      </c>
      <c r="K21" s="0" t="str">
        <f aca="false">IF(J21="","",COUNTIF($J$2:$J$201,"&lt;"&amp;J21)+1)</f>
        <v/>
      </c>
    </row>
    <row r="22" customFormat="false" ht="15" hidden="false" customHeight="false" outlineLevel="0" collapsed="false">
      <c r="A22" s="12"/>
      <c r="B22" s="12"/>
      <c r="C22" s="15"/>
      <c r="D22" s="16"/>
      <c r="E22" s="17"/>
      <c r="F22" s="17"/>
      <c r="G22" s="17"/>
      <c r="H22" s="18" t="str">
        <f aca="true">IF(OR(A22="",C22=""),"",C22-TODAY())</f>
        <v/>
      </c>
      <c r="I22" s="19" t="str">
        <f aca="true">IF(OR(A22="",C22=""),"",IF(G22="Terminada","Hecha",IF(C22&lt;TODAY(),"Vencida",IF(C22-TODAY()&lt;=Instrucciones!$C$16,"Urgente",IF(E22&lt;&gt;"Sí","Verificar fecha","")))))</f>
        <v/>
      </c>
      <c r="J22" s="0" t="str">
        <f aca="true">IF(OR($A22="",$C22="",$G22="Terminada"),"",IF($C22&lt;=TODAY()+6,$C22+ROW()/100000,""))</f>
        <v/>
      </c>
      <c r="K22" s="0" t="str">
        <f aca="false">IF(J22="","",COUNTIF($J$2:$J$201,"&lt;"&amp;J22)+1)</f>
        <v/>
      </c>
    </row>
    <row r="23" customFormat="false" ht="15" hidden="false" customHeight="false" outlineLevel="0" collapsed="false">
      <c r="A23" s="12"/>
      <c r="B23" s="12"/>
      <c r="C23" s="15"/>
      <c r="D23" s="16"/>
      <c r="E23" s="17"/>
      <c r="F23" s="17"/>
      <c r="G23" s="17"/>
      <c r="H23" s="18" t="str">
        <f aca="true">IF(OR(A23="",C23=""),"",C23-TODAY())</f>
        <v/>
      </c>
      <c r="I23" s="19" t="str">
        <f aca="true">IF(OR(A23="",C23=""),"",IF(G23="Terminada","Hecha",IF(C23&lt;TODAY(),"Vencida",IF(C23-TODAY()&lt;=Instrucciones!$C$16,"Urgente",IF(E23&lt;&gt;"Sí","Verificar fecha","")))))</f>
        <v/>
      </c>
      <c r="J23" s="0" t="str">
        <f aca="true">IF(OR($A23="",$C23="",$G23="Terminada"),"",IF($C23&lt;=TODAY()+6,$C23+ROW()/100000,""))</f>
        <v/>
      </c>
      <c r="K23" s="0" t="str">
        <f aca="false">IF(J23="","",COUNTIF($J$2:$J$201,"&lt;"&amp;J23)+1)</f>
        <v/>
      </c>
    </row>
    <row r="24" customFormat="false" ht="15" hidden="false" customHeight="false" outlineLevel="0" collapsed="false">
      <c r="A24" s="12"/>
      <c r="B24" s="12"/>
      <c r="C24" s="15"/>
      <c r="D24" s="16"/>
      <c r="E24" s="17"/>
      <c r="F24" s="17"/>
      <c r="G24" s="17"/>
      <c r="H24" s="18" t="str">
        <f aca="true">IF(OR(A24="",C24=""),"",C24-TODAY())</f>
        <v/>
      </c>
      <c r="I24" s="19" t="str">
        <f aca="true">IF(OR(A24="",C24=""),"",IF(G24="Terminada","Hecha",IF(C24&lt;TODAY(),"Vencida",IF(C24-TODAY()&lt;=Instrucciones!$C$16,"Urgente",IF(E24&lt;&gt;"Sí","Verificar fecha","")))))</f>
        <v/>
      </c>
      <c r="J24" s="0" t="str">
        <f aca="true">IF(OR($A24="",$C24="",$G24="Terminada"),"",IF($C24&lt;=TODAY()+6,$C24+ROW()/100000,""))</f>
        <v/>
      </c>
      <c r="K24" s="0" t="str">
        <f aca="false">IF(J24="","",COUNTIF($J$2:$J$201,"&lt;"&amp;J24)+1)</f>
        <v/>
      </c>
    </row>
    <row r="25" customFormat="false" ht="15" hidden="false" customHeight="false" outlineLevel="0" collapsed="false">
      <c r="A25" s="12"/>
      <c r="B25" s="12"/>
      <c r="C25" s="15"/>
      <c r="D25" s="16"/>
      <c r="E25" s="17"/>
      <c r="F25" s="17"/>
      <c r="G25" s="17"/>
      <c r="H25" s="18" t="str">
        <f aca="true">IF(OR(A25="",C25=""),"",C25-TODAY())</f>
        <v/>
      </c>
      <c r="I25" s="19" t="str">
        <f aca="true">IF(OR(A25="",C25=""),"",IF(G25="Terminada","Hecha",IF(C25&lt;TODAY(),"Vencida",IF(C25-TODAY()&lt;=Instrucciones!$C$16,"Urgente",IF(E25&lt;&gt;"Sí","Verificar fecha","")))))</f>
        <v/>
      </c>
      <c r="J25" s="0" t="str">
        <f aca="true">IF(OR($A25="",$C25="",$G25="Terminada"),"",IF($C25&lt;=TODAY()+6,$C25+ROW()/100000,""))</f>
        <v/>
      </c>
      <c r="K25" s="0" t="str">
        <f aca="false">IF(J25="","",COUNTIF($J$2:$J$201,"&lt;"&amp;J25)+1)</f>
        <v/>
      </c>
    </row>
    <row r="26" customFormat="false" ht="15" hidden="false" customHeight="false" outlineLevel="0" collapsed="false">
      <c r="A26" s="12"/>
      <c r="B26" s="12"/>
      <c r="C26" s="15"/>
      <c r="D26" s="16"/>
      <c r="E26" s="17"/>
      <c r="F26" s="17"/>
      <c r="G26" s="17"/>
      <c r="H26" s="18" t="str">
        <f aca="true">IF(OR(A26="",C26=""),"",C26-TODAY())</f>
        <v/>
      </c>
      <c r="I26" s="19" t="str">
        <f aca="true">IF(OR(A26="",C26=""),"",IF(G26="Terminada","Hecha",IF(C26&lt;TODAY(),"Vencida",IF(C26-TODAY()&lt;=Instrucciones!$C$16,"Urgente",IF(E26&lt;&gt;"Sí","Verificar fecha","")))))</f>
        <v/>
      </c>
      <c r="J26" s="0" t="str">
        <f aca="true">IF(OR($A26="",$C26="",$G26="Terminada"),"",IF($C26&lt;=TODAY()+6,$C26+ROW()/100000,""))</f>
        <v/>
      </c>
      <c r="K26" s="0" t="str">
        <f aca="false">IF(J26="","",COUNTIF($J$2:$J$201,"&lt;"&amp;J26)+1)</f>
        <v/>
      </c>
    </row>
    <row r="27" customFormat="false" ht="15" hidden="false" customHeight="false" outlineLevel="0" collapsed="false">
      <c r="A27" s="12"/>
      <c r="B27" s="12"/>
      <c r="C27" s="15"/>
      <c r="D27" s="16"/>
      <c r="E27" s="17"/>
      <c r="F27" s="17"/>
      <c r="G27" s="17"/>
      <c r="H27" s="18" t="str">
        <f aca="true">IF(OR(A27="",C27=""),"",C27-TODAY())</f>
        <v/>
      </c>
      <c r="I27" s="19" t="str">
        <f aca="true">IF(OR(A27="",C27=""),"",IF(G27="Terminada","Hecha",IF(C27&lt;TODAY(),"Vencida",IF(C27-TODAY()&lt;=Instrucciones!$C$16,"Urgente",IF(E27&lt;&gt;"Sí","Verificar fecha","")))))</f>
        <v/>
      </c>
      <c r="J27" s="0" t="str">
        <f aca="true">IF(OR($A27="",$C27="",$G27="Terminada"),"",IF($C27&lt;=TODAY()+6,$C27+ROW()/100000,""))</f>
        <v/>
      </c>
      <c r="K27" s="0" t="str">
        <f aca="false">IF(J27="","",COUNTIF($J$2:$J$201,"&lt;"&amp;J27)+1)</f>
        <v/>
      </c>
    </row>
    <row r="28" customFormat="false" ht="15" hidden="false" customHeight="false" outlineLevel="0" collapsed="false">
      <c r="A28" s="12"/>
      <c r="B28" s="12"/>
      <c r="C28" s="15"/>
      <c r="D28" s="16"/>
      <c r="E28" s="17"/>
      <c r="F28" s="17"/>
      <c r="G28" s="17"/>
      <c r="H28" s="18" t="str">
        <f aca="true">IF(OR(A28="",C28=""),"",C28-TODAY())</f>
        <v/>
      </c>
      <c r="I28" s="19" t="str">
        <f aca="true">IF(OR(A28="",C28=""),"",IF(G28="Terminada","Hecha",IF(C28&lt;TODAY(),"Vencida",IF(C28-TODAY()&lt;=Instrucciones!$C$16,"Urgente",IF(E28&lt;&gt;"Sí","Verificar fecha","")))))</f>
        <v/>
      </c>
      <c r="J28" s="0" t="str">
        <f aca="true">IF(OR($A28="",$C28="",$G28="Terminada"),"",IF($C28&lt;=TODAY()+6,$C28+ROW()/100000,""))</f>
        <v/>
      </c>
      <c r="K28" s="0" t="str">
        <f aca="false">IF(J28="","",COUNTIF($J$2:$J$201,"&lt;"&amp;J28)+1)</f>
        <v/>
      </c>
    </row>
    <row r="29" customFormat="false" ht="15" hidden="false" customHeight="false" outlineLevel="0" collapsed="false">
      <c r="A29" s="12"/>
      <c r="B29" s="12"/>
      <c r="C29" s="15"/>
      <c r="D29" s="16"/>
      <c r="E29" s="17"/>
      <c r="F29" s="17"/>
      <c r="G29" s="17"/>
      <c r="H29" s="18" t="str">
        <f aca="true">IF(OR(A29="",C29=""),"",C29-TODAY())</f>
        <v/>
      </c>
      <c r="I29" s="19" t="str">
        <f aca="true">IF(OR(A29="",C29=""),"",IF(G29="Terminada","Hecha",IF(C29&lt;TODAY(),"Vencida",IF(C29-TODAY()&lt;=Instrucciones!$C$16,"Urgente",IF(E29&lt;&gt;"Sí","Verificar fecha","")))))</f>
        <v/>
      </c>
      <c r="J29" s="0" t="str">
        <f aca="true">IF(OR($A29="",$C29="",$G29="Terminada"),"",IF($C29&lt;=TODAY()+6,$C29+ROW()/100000,""))</f>
        <v/>
      </c>
      <c r="K29" s="0" t="str">
        <f aca="false">IF(J29="","",COUNTIF($J$2:$J$201,"&lt;"&amp;J29)+1)</f>
        <v/>
      </c>
    </row>
    <row r="30" customFormat="false" ht="15" hidden="false" customHeight="false" outlineLevel="0" collapsed="false">
      <c r="A30" s="12"/>
      <c r="B30" s="12"/>
      <c r="C30" s="15"/>
      <c r="D30" s="16"/>
      <c r="E30" s="17"/>
      <c r="F30" s="17"/>
      <c r="G30" s="17"/>
      <c r="H30" s="18" t="str">
        <f aca="true">IF(OR(A30="",C30=""),"",C30-TODAY())</f>
        <v/>
      </c>
      <c r="I30" s="19" t="str">
        <f aca="true">IF(OR(A30="",C30=""),"",IF(G30="Terminada","Hecha",IF(C30&lt;TODAY(),"Vencida",IF(C30-TODAY()&lt;=Instrucciones!$C$16,"Urgente",IF(E30&lt;&gt;"Sí","Verificar fecha","")))))</f>
        <v/>
      </c>
      <c r="J30" s="0" t="str">
        <f aca="true">IF(OR($A30="",$C30="",$G30="Terminada"),"",IF($C30&lt;=TODAY()+6,$C30+ROW()/100000,""))</f>
        <v/>
      </c>
      <c r="K30" s="0" t="str">
        <f aca="false">IF(J30="","",COUNTIF($J$2:$J$201,"&lt;"&amp;J30)+1)</f>
        <v/>
      </c>
    </row>
    <row r="31" customFormat="false" ht="15" hidden="false" customHeight="false" outlineLevel="0" collapsed="false">
      <c r="A31" s="12"/>
      <c r="B31" s="12"/>
      <c r="C31" s="15"/>
      <c r="D31" s="16"/>
      <c r="E31" s="17"/>
      <c r="F31" s="17"/>
      <c r="G31" s="17"/>
      <c r="H31" s="18" t="str">
        <f aca="true">IF(OR(A31="",C31=""),"",C31-TODAY())</f>
        <v/>
      </c>
      <c r="I31" s="19" t="str">
        <f aca="true">IF(OR(A31="",C31=""),"",IF(G31="Terminada","Hecha",IF(C31&lt;TODAY(),"Vencida",IF(C31-TODAY()&lt;=Instrucciones!$C$16,"Urgente",IF(E31&lt;&gt;"Sí","Verificar fecha","")))))</f>
        <v/>
      </c>
      <c r="J31" s="0" t="str">
        <f aca="true">IF(OR($A31="",$C31="",$G31="Terminada"),"",IF($C31&lt;=TODAY()+6,$C31+ROW()/100000,""))</f>
        <v/>
      </c>
      <c r="K31" s="0" t="str">
        <f aca="false">IF(J31="","",COUNTIF($J$2:$J$201,"&lt;"&amp;J31)+1)</f>
        <v/>
      </c>
    </row>
    <row r="32" customFormat="false" ht="15" hidden="false" customHeight="false" outlineLevel="0" collapsed="false">
      <c r="A32" s="12"/>
      <c r="B32" s="12"/>
      <c r="C32" s="15"/>
      <c r="D32" s="16"/>
      <c r="E32" s="17"/>
      <c r="F32" s="17"/>
      <c r="G32" s="17"/>
      <c r="H32" s="18" t="str">
        <f aca="true">IF(OR(A32="",C32=""),"",C32-TODAY())</f>
        <v/>
      </c>
      <c r="I32" s="19" t="str">
        <f aca="true">IF(OR(A32="",C32=""),"",IF(G32="Terminada","Hecha",IF(C32&lt;TODAY(),"Vencida",IF(C32-TODAY()&lt;=Instrucciones!$C$16,"Urgente",IF(E32&lt;&gt;"Sí","Verificar fecha","")))))</f>
        <v/>
      </c>
      <c r="J32" s="0" t="str">
        <f aca="true">IF(OR($A32="",$C32="",$G32="Terminada"),"",IF($C32&lt;=TODAY()+6,$C32+ROW()/100000,""))</f>
        <v/>
      </c>
      <c r="K32" s="0" t="str">
        <f aca="false">IF(J32="","",COUNTIF($J$2:$J$201,"&lt;"&amp;J32)+1)</f>
        <v/>
      </c>
    </row>
    <row r="33" customFormat="false" ht="15" hidden="false" customHeight="false" outlineLevel="0" collapsed="false">
      <c r="A33" s="12"/>
      <c r="B33" s="12"/>
      <c r="C33" s="15"/>
      <c r="D33" s="16"/>
      <c r="E33" s="17"/>
      <c r="F33" s="17"/>
      <c r="G33" s="17"/>
      <c r="H33" s="18" t="str">
        <f aca="true">IF(OR(A33="",C33=""),"",C33-TODAY())</f>
        <v/>
      </c>
      <c r="I33" s="19" t="str">
        <f aca="true">IF(OR(A33="",C33=""),"",IF(G33="Terminada","Hecha",IF(C33&lt;TODAY(),"Vencida",IF(C33-TODAY()&lt;=Instrucciones!$C$16,"Urgente",IF(E33&lt;&gt;"Sí","Verificar fecha","")))))</f>
        <v/>
      </c>
      <c r="J33" s="0" t="str">
        <f aca="true">IF(OR($A33="",$C33="",$G33="Terminada"),"",IF($C33&lt;=TODAY()+6,$C33+ROW()/100000,""))</f>
        <v/>
      </c>
      <c r="K33" s="0" t="str">
        <f aca="false">IF(J33="","",COUNTIF($J$2:$J$201,"&lt;"&amp;J33)+1)</f>
        <v/>
      </c>
    </row>
    <row r="34" customFormat="false" ht="15" hidden="false" customHeight="false" outlineLevel="0" collapsed="false">
      <c r="A34" s="12"/>
      <c r="B34" s="12"/>
      <c r="C34" s="15"/>
      <c r="D34" s="16"/>
      <c r="E34" s="17"/>
      <c r="F34" s="17"/>
      <c r="G34" s="17"/>
      <c r="H34" s="18" t="str">
        <f aca="true">IF(OR(A34="",C34=""),"",C34-TODAY())</f>
        <v/>
      </c>
      <c r="I34" s="19" t="str">
        <f aca="true">IF(OR(A34="",C34=""),"",IF(G34="Terminada","Hecha",IF(C34&lt;TODAY(),"Vencida",IF(C34-TODAY()&lt;=Instrucciones!$C$16,"Urgente",IF(E34&lt;&gt;"Sí","Verificar fecha","")))))</f>
        <v/>
      </c>
      <c r="J34" s="0" t="str">
        <f aca="true">IF(OR($A34="",$C34="",$G34="Terminada"),"",IF($C34&lt;=TODAY()+6,$C34+ROW()/100000,""))</f>
        <v/>
      </c>
      <c r="K34" s="0" t="str">
        <f aca="false">IF(J34="","",COUNTIF($J$2:$J$201,"&lt;"&amp;J34)+1)</f>
        <v/>
      </c>
    </row>
    <row r="35" customFormat="false" ht="15" hidden="false" customHeight="false" outlineLevel="0" collapsed="false">
      <c r="A35" s="12"/>
      <c r="B35" s="12"/>
      <c r="C35" s="15"/>
      <c r="D35" s="16"/>
      <c r="E35" s="17"/>
      <c r="F35" s="17"/>
      <c r="G35" s="17"/>
      <c r="H35" s="18" t="str">
        <f aca="true">IF(OR(A35="",C35=""),"",C35-TODAY())</f>
        <v/>
      </c>
      <c r="I35" s="19" t="str">
        <f aca="true">IF(OR(A35="",C35=""),"",IF(G35="Terminada","Hecha",IF(C35&lt;TODAY(),"Vencida",IF(C35-TODAY()&lt;=Instrucciones!$C$16,"Urgente",IF(E35&lt;&gt;"Sí","Verificar fecha","")))))</f>
        <v/>
      </c>
      <c r="J35" s="0" t="str">
        <f aca="true">IF(OR($A35="",$C35="",$G35="Terminada"),"",IF($C35&lt;=TODAY()+6,$C35+ROW()/100000,""))</f>
        <v/>
      </c>
      <c r="K35" s="0" t="str">
        <f aca="false">IF(J35="","",COUNTIF($J$2:$J$201,"&lt;"&amp;J35)+1)</f>
        <v/>
      </c>
    </row>
    <row r="36" customFormat="false" ht="15" hidden="false" customHeight="false" outlineLevel="0" collapsed="false">
      <c r="A36" s="12"/>
      <c r="B36" s="12"/>
      <c r="C36" s="15"/>
      <c r="D36" s="16"/>
      <c r="E36" s="17"/>
      <c r="F36" s="17"/>
      <c r="G36" s="17"/>
      <c r="H36" s="18" t="str">
        <f aca="true">IF(OR(A36="",C36=""),"",C36-TODAY())</f>
        <v/>
      </c>
      <c r="I36" s="19" t="str">
        <f aca="true">IF(OR(A36="",C36=""),"",IF(G36="Terminada","Hecha",IF(C36&lt;TODAY(),"Vencida",IF(C36-TODAY()&lt;=Instrucciones!$C$16,"Urgente",IF(E36&lt;&gt;"Sí","Verificar fecha","")))))</f>
        <v/>
      </c>
      <c r="J36" s="0" t="str">
        <f aca="true">IF(OR($A36="",$C36="",$G36="Terminada"),"",IF($C36&lt;=TODAY()+6,$C36+ROW()/100000,""))</f>
        <v/>
      </c>
      <c r="K36" s="0" t="str">
        <f aca="false">IF(J36="","",COUNTIF($J$2:$J$201,"&lt;"&amp;J36)+1)</f>
        <v/>
      </c>
    </row>
    <row r="37" customFormat="false" ht="15" hidden="false" customHeight="false" outlineLevel="0" collapsed="false">
      <c r="A37" s="12"/>
      <c r="B37" s="12"/>
      <c r="C37" s="15"/>
      <c r="D37" s="16"/>
      <c r="E37" s="17"/>
      <c r="F37" s="17"/>
      <c r="G37" s="17"/>
      <c r="H37" s="18" t="str">
        <f aca="true">IF(OR(A37="",C37=""),"",C37-TODAY())</f>
        <v/>
      </c>
      <c r="I37" s="19" t="str">
        <f aca="true">IF(OR(A37="",C37=""),"",IF(G37="Terminada","Hecha",IF(C37&lt;TODAY(),"Vencida",IF(C37-TODAY()&lt;=Instrucciones!$C$16,"Urgente",IF(E37&lt;&gt;"Sí","Verificar fecha","")))))</f>
        <v/>
      </c>
      <c r="J37" s="0" t="str">
        <f aca="true">IF(OR($A37="",$C37="",$G37="Terminada"),"",IF($C37&lt;=TODAY()+6,$C37+ROW()/100000,""))</f>
        <v/>
      </c>
      <c r="K37" s="0" t="str">
        <f aca="false">IF(J37="","",COUNTIF($J$2:$J$201,"&lt;"&amp;J37)+1)</f>
        <v/>
      </c>
    </row>
    <row r="38" customFormat="false" ht="15" hidden="false" customHeight="false" outlineLevel="0" collapsed="false">
      <c r="A38" s="12"/>
      <c r="B38" s="12"/>
      <c r="C38" s="15"/>
      <c r="D38" s="16"/>
      <c r="E38" s="17"/>
      <c r="F38" s="17"/>
      <c r="G38" s="17"/>
      <c r="H38" s="18" t="str">
        <f aca="true">IF(OR(A38="",C38=""),"",C38-TODAY())</f>
        <v/>
      </c>
      <c r="I38" s="19" t="str">
        <f aca="true">IF(OR(A38="",C38=""),"",IF(G38="Terminada","Hecha",IF(C38&lt;TODAY(),"Vencida",IF(C38-TODAY()&lt;=Instrucciones!$C$16,"Urgente",IF(E38&lt;&gt;"Sí","Verificar fecha","")))))</f>
        <v/>
      </c>
      <c r="J38" s="0" t="str">
        <f aca="true">IF(OR($A38="",$C38="",$G38="Terminada"),"",IF($C38&lt;=TODAY()+6,$C38+ROW()/100000,""))</f>
        <v/>
      </c>
      <c r="K38" s="0" t="str">
        <f aca="false">IF(J38="","",COUNTIF($J$2:$J$201,"&lt;"&amp;J38)+1)</f>
        <v/>
      </c>
    </row>
    <row r="39" customFormat="false" ht="15" hidden="false" customHeight="false" outlineLevel="0" collapsed="false">
      <c r="A39" s="12"/>
      <c r="B39" s="12"/>
      <c r="C39" s="15"/>
      <c r="D39" s="16"/>
      <c r="E39" s="17"/>
      <c r="F39" s="17"/>
      <c r="G39" s="17"/>
      <c r="H39" s="18" t="str">
        <f aca="true">IF(OR(A39="",C39=""),"",C39-TODAY())</f>
        <v/>
      </c>
      <c r="I39" s="19" t="str">
        <f aca="true">IF(OR(A39="",C39=""),"",IF(G39="Terminada","Hecha",IF(C39&lt;TODAY(),"Vencida",IF(C39-TODAY()&lt;=Instrucciones!$C$16,"Urgente",IF(E39&lt;&gt;"Sí","Verificar fecha","")))))</f>
        <v/>
      </c>
      <c r="J39" s="0" t="str">
        <f aca="true">IF(OR($A39="",$C39="",$G39="Terminada"),"",IF($C39&lt;=TODAY()+6,$C39+ROW()/100000,""))</f>
        <v/>
      </c>
      <c r="K39" s="0" t="str">
        <f aca="false">IF(J39="","",COUNTIF($J$2:$J$201,"&lt;"&amp;J39)+1)</f>
        <v/>
      </c>
    </row>
    <row r="40" customFormat="false" ht="15" hidden="false" customHeight="false" outlineLevel="0" collapsed="false">
      <c r="A40" s="12"/>
      <c r="B40" s="12"/>
      <c r="C40" s="15"/>
      <c r="D40" s="16"/>
      <c r="E40" s="17"/>
      <c r="F40" s="17"/>
      <c r="G40" s="17"/>
      <c r="H40" s="18" t="str">
        <f aca="true">IF(OR(A40="",C40=""),"",C40-TODAY())</f>
        <v/>
      </c>
      <c r="I40" s="19" t="str">
        <f aca="true">IF(OR(A40="",C40=""),"",IF(G40="Terminada","Hecha",IF(C40&lt;TODAY(),"Vencida",IF(C40-TODAY()&lt;=Instrucciones!$C$16,"Urgente",IF(E40&lt;&gt;"Sí","Verificar fecha","")))))</f>
        <v/>
      </c>
      <c r="J40" s="0" t="str">
        <f aca="true">IF(OR($A40="",$C40="",$G40="Terminada"),"",IF($C40&lt;=TODAY()+6,$C40+ROW()/100000,""))</f>
        <v/>
      </c>
      <c r="K40" s="0" t="str">
        <f aca="false">IF(J40="","",COUNTIF($J$2:$J$201,"&lt;"&amp;J40)+1)</f>
        <v/>
      </c>
    </row>
    <row r="41" customFormat="false" ht="15" hidden="false" customHeight="false" outlineLevel="0" collapsed="false">
      <c r="A41" s="12"/>
      <c r="B41" s="12"/>
      <c r="C41" s="15"/>
      <c r="D41" s="16"/>
      <c r="E41" s="17"/>
      <c r="F41" s="17"/>
      <c r="G41" s="17"/>
      <c r="H41" s="18" t="str">
        <f aca="true">IF(OR(A41="",C41=""),"",C41-TODAY())</f>
        <v/>
      </c>
      <c r="I41" s="19" t="str">
        <f aca="true">IF(OR(A41="",C41=""),"",IF(G41="Terminada","Hecha",IF(C41&lt;TODAY(),"Vencida",IF(C41-TODAY()&lt;=Instrucciones!$C$16,"Urgente",IF(E41&lt;&gt;"Sí","Verificar fecha","")))))</f>
        <v/>
      </c>
      <c r="J41" s="0" t="str">
        <f aca="true">IF(OR($A41="",$C41="",$G41="Terminada"),"",IF($C41&lt;=TODAY()+6,$C41+ROW()/100000,""))</f>
        <v/>
      </c>
      <c r="K41" s="0" t="str">
        <f aca="false">IF(J41="","",COUNTIF($J$2:$J$201,"&lt;"&amp;J41)+1)</f>
        <v/>
      </c>
    </row>
    <row r="42" customFormat="false" ht="15" hidden="false" customHeight="false" outlineLevel="0" collapsed="false">
      <c r="A42" s="12"/>
      <c r="B42" s="12"/>
      <c r="C42" s="15"/>
      <c r="D42" s="16"/>
      <c r="E42" s="17"/>
      <c r="F42" s="17"/>
      <c r="G42" s="17"/>
      <c r="H42" s="18" t="str">
        <f aca="true">IF(OR(A42="",C42=""),"",C42-TODAY())</f>
        <v/>
      </c>
      <c r="I42" s="19" t="str">
        <f aca="true">IF(OR(A42="",C42=""),"",IF(G42="Terminada","Hecha",IF(C42&lt;TODAY(),"Vencida",IF(C42-TODAY()&lt;=Instrucciones!$C$16,"Urgente",IF(E42&lt;&gt;"Sí","Verificar fecha","")))))</f>
        <v/>
      </c>
      <c r="J42" s="0" t="str">
        <f aca="true">IF(OR($A42="",$C42="",$G42="Terminada"),"",IF($C42&lt;=TODAY()+6,$C42+ROW()/100000,""))</f>
        <v/>
      </c>
      <c r="K42" s="0" t="str">
        <f aca="false">IF(J42="","",COUNTIF($J$2:$J$201,"&lt;"&amp;J42)+1)</f>
        <v/>
      </c>
    </row>
    <row r="43" customFormat="false" ht="15" hidden="false" customHeight="false" outlineLevel="0" collapsed="false">
      <c r="A43" s="12"/>
      <c r="B43" s="12"/>
      <c r="C43" s="15"/>
      <c r="D43" s="16"/>
      <c r="E43" s="17"/>
      <c r="F43" s="17"/>
      <c r="G43" s="17"/>
      <c r="H43" s="18" t="str">
        <f aca="true">IF(OR(A43="",C43=""),"",C43-TODAY())</f>
        <v/>
      </c>
      <c r="I43" s="19" t="str">
        <f aca="true">IF(OR(A43="",C43=""),"",IF(G43="Terminada","Hecha",IF(C43&lt;TODAY(),"Vencida",IF(C43-TODAY()&lt;=Instrucciones!$C$16,"Urgente",IF(E43&lt;&gt;"Sí","Verificar fecha","")))))</f>
        <v/>
      </c>
      <c r="J43" s="0" t="str">
        <f aca="true">IF(OR($A43="",$C43="",$G43="Terminada"),"",IF($C43&lt;=TODAY()+6,$C43+ROW()/100000,""))</f>
        <v/>
      </c>
      <c r="K43" s="0" t="str">
        <f aca="false">IF(J43="","",COUNTIF($J$2:$J$201,"&lt;"&amp;J43)+1)</f>
        <v/>
      </c>
    </row>
    <row r="44" customFormat="false" ht="15" hidden="false" customHeight="false" outlineLevel="0" collapsed="false">
      <c r="A44" s="12"/>
      <c r="B44" s="12"/>
      <c r="C44" s="15"/>
      <c r="D44" s="16"/>
      <c r="E44" s="17"/>
      <c r="F44" s="17"/>
      <c r="G44" s="17"/>
      <c r="H44" s="18" t="str">
        <f aca="true">IF(OR(A44="",C44=""),"",C44-TODAY())</f>
        <v/>
      </c>
      <c r="I44" s="19" t="str">
        <f aca="true">IF(OR(A44="",C44=""),"",IF(G44="Terminada","Hecha",IF(C44&lt;TODAY(),"Vencida",IF(C44-TODAY()&lt;=Instrucciones!$C$16,"Urgente",IF(E44&lt;&gt;"Sí","Verificar fecha","")))))</f>
        <v/>
      </c>
      <c r="J44" s="0" t="str">
        <f aca="true">IF(OR($A44="",$C44="",$G44="Terminada"),"",IF($C44&lt;=TODAY()+6,$C44+ROW()/100000,""))</f>
        <v/>
      </c>
      <c r="K44" s="0" t="str">
        <f aca="false">IF(J44="","",COUNTIF($J$2:$J$201,"&lt;"&amp;J44)+1)</f>
        <v/>
      </c>
    </row>
    <row r="45" customFormat="false" ht="15" hidden="false" customHeight="false" outlineLevel="0" collapsed="false">
      <c r="A45" s="12"/>
      <c r="B45" s="12"/>
      <c r="C45" s="15"/>
      <c r="D45" s="16"/>
      <c r="E45" s="17"/>
      <c r="F45" s="17"/>
      <c r="G45" s="17"/>
      <c r="H45" s="18" t="str">
        <f aca="true">IF(OR(A45="",C45=""),"",C45-TODAY())</f>
        <v/>
      </c>
      <c r="I45" s="19" t="str">
        <f aca="true">IF(OR(A45="",C45=""),"",IF(G45="Terminada","Hecha",IF(C45&lt;TODAY(),"Vencida",IF(C45-TODAY()&lt;=Instrucciones!$C$16,"Urgente",IF(E45&lt;&gt;"Sí","Verificar fecha","")))))</f>
        <v/>
      </c>
      <c r="J45" s="0" t="str">
        <f aca="true">IF(OR($A45="",$C45="",$G45="Terminada"),"",IF($C45&lt;=TODAY()+6,$C45+ROW()/100000,""))</f>
        <v/>
      </c>
      <c r="K45" s="0" t="str">
        <f aca="false">IF(J45="","",COUNTIF($J$2:$J$201,"&lt;"&amp;J45)+1)</f>
        <v/>
      </c>
    </row>
    <row r="46" customFormat="false" ht="15" hidden="false" customHeight="false" outlineLevel="0" collapsed="false">
      <c r="A46" s="12"/>
      <c r="B46" s="12"/>
      <c r="C46" s="15"/>
      <c r="D46" s="16"/>
      <c r="E46" s="17"/>
      <c r="F46" s="17"/>
      <c r="G46" s="17"/>
      <c r="H46" s="18" t="str">
        <f aca="true">IF(OR(A46="",C46=""),"",C46-TODAY())</f>
        <v/>
      </c>
      <c r="I46" s="19" t="str">
        <f aca="true">IF(OR(A46="",C46=""),"",IF(G46="Terminada","Hecha",IF(C46&lt;TODAY(),"Vencida",IF(C46-TODAY()&lt;=Instrucciones!$C$16,"Urgente",IF(E46&lt;&gt;"Sí","Verificar fecha","")))))</f>
        <v/>
      </c>
      <c r="J46" s="0" t="str">
        <f aca="true">IF(OR($A46="",$C46="",$G46="Terminada"),"",IF($C46&lt;=TODAY()+6,$C46+ROW()/100000,""))</f>
        <v/>
      </c>
      <c r="K46" s="0" t="str">
        <f aca="false">IF(J46="","",COUNTIF($J$2:$J$201,"&lt;"&amp;J46)+1)</f>
        <v/>
      </c>
    </row>
    <row r="47" customFormat="false" ht="15" hidden="false" customHeight="false" outlineLevel="0" collapsed="false">
      <c r="A47" s="12"/>
      <c r="B47" s="12"/>
      <c r="C47" s="15"/>
      <c r="D47" s="16"/>
      <c r="E47" s="17"/>
      <c r="F47" s="17"/>
      <c r="G47" s="17"/>
      <c r="H47" s="18" t="str">
        <f aca="true">IF(OR(A47="",C47=""),"",C47-TODAY())</f>
        <v/>
      </c>
      <c r="I47" s="19" t="str">
        <f aca="true">IF(OR(A47="",C47=""),"",IF(G47="Terminada","Hecha",IF(C47&lt;TODAY(),"Vencida",IF(C47-TODAY()&lt;=Instrucciones!$C$16,"Urgente",IF(E47&lt;&gt;"Sí","Verificar fecha","")))))</f>
        <v/>
      </c>
      <c r="J47" s="0" t="str">
        <f aca="true">IF(OR($A47="",$C47="",$G47="Terminada"),"",IF($C47&lt;=TODAY()+6,$C47+ROW()/100000,""))</f>
        <v/>
      </c>
      <c r="K47" s="0" t="str">
        <f aca="false">IF(J47="","",COUNTIF($J$2:$J$201,"&lt;"&amp;J47)+1)</f>
        <v/>
      </c>
    </row>
    <row r="48" customFormat="false" ht="15" hidden="false" customHeight="false" outlineLevel="0" collapsed="false">
      <c r="A48" s="12"/>
      <c r="B48" s="12"/>
      <c r="C48" s="15"/>
      <c r="D48" s="16"/>
      <c r="E48" s="17"/>
      <c r="F48" s="17"/>
      <c r="G48" s="17"/>
      <c r="H48" s="18" t="str">
        <f aca="true">IF(OR(A48="",C48=""),"",C48-TODAY())</f>
        <v/>
      </c>
      <c r="I48" s="19" t="str">
        <f aca="true">IF(OR(A48="",C48=""),"",IF(G48="Terminada","Hecha",IF(C48&lt;TODAY(),"Vencida",IF(C48-TODAY()&lt;=Instrucciones!$C$16,"Urgente",IF(E48&lt;&gt;"Sí","Verificar fecha","")))))</f>
        <v/>
      </c>
      <c r="J48" s="0" t="str">
        <f aca="true">IF(OR($A48="",$C48="",$G48="Terminada"),"",IF($C48&lt;=TODAY()+6,$C48+ROW()/100000,""))</f>
        <v/>
      </c>
      <c r="K48" s="0" t="str">
        <f aca="false">IF(J48="","",COUNTIF($J$2:$J$201,"&lt;"&amp;J48)+1)</f>
        <v/>
      </c>
    </row>
    <row r="49" customFormat="false" ht="15" hidden="false" customHeight="false" outlineLevel="0" collapsed="false">
      <c r="A49" s="12"/>
      <c r="B49" s="12"/>
      <c r="C49" s="15"/>
      <c r="D49" s="16"/>
      <c r="E49" s="17"/>
      <c r="F49" s="17"/>
      <c r="G49" s="17"/>
      <c r="H49" s="18" t="str">
        <f aca="true">IF(OR(A49="",C49=""),"",C49-TODAY())</f>
        <v/>
      </c>
      <c r="I49" s="19" t="str">
        <f aca="true">IF(OR(A49="",C49=""),"",IF(G49="Terminada","Hecha",IF(C49&lt;TODAY(),"Vencida",IF(C49-TODAY()&lt;=Instrucciones!$C$16,"Urgente",IF(E49&lt;&gt;"Sí","Verificar fecha","")))))</f>
        <v/>
      </c>
      <c r="J49" s="0" t="str">
        <f aca="true">IF(OR($A49="",$C49="",$G49="Terminada"),"",IF($C49&lt;=TODAY()+6,$C49+ROW()/100000,""))</f>
        <v/>
      </c>
      <c r="K49" s="0" t="str">
        <f aca="false">IF(J49="","",COUNTIF($J$2:$J$201,"&lt;"&amp;J49)+1)</f>
        <v/>
      </c>
    </row>
    <row r="50" customFormat="false" ht="15" hidden="false" customHeight="false" outlineLevel="0" collapsed="false">
      <c r="A50" s="12"/>
      <c r="B50" s="12"/>
      <c r="C50" s="15"/>
      <c r="D50" s="16"/>
      <c r="E50" s="17"/>
      <c r="F50" s="17"/>
      <c r="G50" s="17"/>
      <c r="H50" s="18" t="str">
        <f aca="true">IF(OR(A50="",C50=""),"",C50-TODAY())</f>
        <v/>
      </c>
      <c r="I50" s="19" t="str">
        <f aca="true">IF(OR(A50="",C50=""),"",IF(G50="Terminada","Hecha",IF(C50&lt;TODAY(),"Vencida",IF(C50-TODAY()&lt;=Instrucciones!$C$16,"Urgente",IF(E50&lt;&gt;"Sí","Verificar fecha","")))))</f>
        <v/>
      </c>
      <c r="J50" s="0" t="str">
        <f aca="true">IF(OR($A50="",$C50="",$G50="Terminada"),"",IF($C50&lt;=TODAY()+6,$C50+ROW()/100000,""))</f>
        <v/>
      </c>
      <c r="K50" s="0" t="str">
        <f aca="false">IF(J50="","",COUNTIF($J$2:$J$201,"&lt;"&amp;J50)+1)</f>
        <v/>
      </c>
    </row>
    <row r="51" customFormat="false" ht="15" hidden="false" customHeight="false" outlineLevel="0" collapsed="false">
      <c r="A51" s="12"/>
      <c r="B51" s="12"/>
      <c r="C51" s="15"/>
      <c r="D51" s="16"/>
      <c r="E51" s="17"/>
      <c r="F51" s="17"/>
      <c r="G51" s="17"/>
      <c r="H51" s="18" t="str">
        <f aca="true">IF(OR(A51="",C51=""),"",C51-TODAY())</f>
        <v/>
      </c>
      <c r="I51" s="19" t="str">
        <f aca="true">IF(OR(A51="",C51=""),"",IF(G51="Terminada","Hecha",IF(C51&lt;TODAY(),"Vencida",IF(C51-TODAY()&lt;=Instrucciones!$C$16,"Urgente",IF(E51&lt;&gt;"Sí","Verificar fecha","")))))</f>
        <v/>
      </c>
      <c r="J51" s="0" t="str">
        <f aca="true">IF(OR($A51="",$C51="",$G51="Terminada"),"",IF($C51&lt;=TODAY()+6,$C51+ROW()/100000,""))</f>
        <v/>
      </c>
      <c r="K51" s="0" t="str">
        <f aca="false">IF(J51="","",COUNTIF($J$2:$J$201,"&lt;"&amp;J51)+1)</f>
        <v/>
      </c>
    </row>
    <row r="52" customFormat="false" ht="15" hidden="false" customHeight="false" outlineLevel="0" collapsed="false">
      <c r="A52" s="12"/>
      <c r="B52" s="12"/>
      <c r="C52" s="15"/>
      <c r="D52" s="16"/>
      <c r="E52" s="17"/>
      <c r="F52" s="17"/>
      <c r="G52" s="17"/>
      <c r="H52" s="18" t="str">
        <f aca="true">IF(OR(A52="",C52=""),"",C52-TODAY())</f>
        <v/>
      </c>
      <c r="I52" s="19" t="str">
        <f aca="true">IF(OR(A52="",C52=""),"",IF(G52="Terminada","Hecha",IF(C52&lt;TODAY(),"Vencida",IF(C52-TODAY()&lt;=Instrucciones!$C$16,"Urgente",IF(E52&lt;&gt;"Sí","Verificar fecha","")))))</f>
        <v/>
      </c>
      <c r="J52" s="0" t="str">
        <f aca="true">IF(OR($A52="",$C52="",$G52="Terminada"),"",IF($C52&lt;=TODAY()+6,$C52+ROW()/100000,""))</f>
        <v/>
      </c>
      <c r="K52" s="0" t="str">
        <f aca="false">IF(J52="","",COUNTIF($J$2:$J$201,"&lt;"&amp;J52)+1)</f>
        <v/>
      </c>
    </row>
    <row r="53" customFormat="false" ht="15" hidden="false" customHeight="false" outlineLevel="0" collapsed="false">
      <c r="A53" s="12"/>
      <c r="B53" s="12"/>
      <c r="C53" s="15"/>
      <c r="D53" s="16"/>
      <c r="E53" s="17"/>
      <c r="F53" s="17"/>
      <c r="G53" s="17"/>
      <c r="H53" s="18" t="str">
        <f aca="true">IF(OR(A53="",C53=""),"",C53-TODAY())</f>
        <v/>
      </c>
      <c r="I53" s="19" t="str">
        <f aca="true">IF(OR(A53="",C53=""),"",IF(G53="Terminada","Hecha",IF(C53&lt;TODAY(),"Vencida",IF(C53-TODAY()&lt;=Instrucciones!$C$16,"Urgente",IF(E53&lt;&gt;"Sí","Verificar fecha","")))))</f>
        <v/>
      </c>
      <c r="J53" s="0" t="str">
        <f aca="true">IF(OR($A53="",$C53="",$G53="Terminada"),"",IF($C53&lt;=TODAY()+6,$C53+ROW()/100000,""))</f>
        <v/>
      </c>
      <c r="K53" s="0" t="str">
        <f aca="false">IF(J53="","",COUNTIF($J$2:$J$201,"&lt;"&amp;J53)+1)</f>
        <v/>
      </c>
    </row>
    <row r="54" customFormat="false" ht="15" hidden="false" customHeight="false" outlineLevel="0" collapsed="false">
      <c r="A54" s="12"/>
      <c r="B54" s="12"/>
      <c r="C54" s="15"/>
      <c r="D54" s="16"/>
      <c r="E54" s="17"/>
      <c r="F54" s="17"/>
      <c r="G54" s="17"/>
      <c r="H54" s="18" t="str">
        <f aca="true">IF(OR(A54="",C54=""),"",C54-TODAY())</f>
        <v/>
      </c>
      <c r="I54" s="19" t="str">
        <f aca="true">IF(OR(A54="",C54=""),"",IF(G54="Terminada","Hecha",IF(C54&lt;TODAY(),"Vencida",IF(C54-TODAY()&lt;=Instrucciones!$C$16,"Urgente",IF(E54&lt;&gt;"Sí","Verificar fecha","")))))</f>
        <v/>
      </c>
      <c r="J54" s="0" t="str">
        <f aca="true">IF(OR($A54="",$C54="",$G54="Terminada"),"",IF($C54&lt;=TODAY()+6,$C54+ROW()/100000,""))</f>
        <v/>
      </c>
      <c r="K54" s="0" t="str">
        <f aca="false">IF(J54="","",COUNTIF($J$2:$J$201,"&lt;"&amp;J54)+1)</f>
        <v/>
      </c>
    </row>
    <row r="55" customFormat="false" ht="15" hidden="false" customHeight="false" outlineLevel="0" collapsed="false">
      <c r="A55" s="12"/>
      <c r="B55" s="12"/>
      <c r="C55" s="15"/>
      <c r="D55" s="16"/>
      <c r="E55" s="17"/>
      <c r="F55" s="17"/>
      <c r="G55" s="17"/>
      <c r="H55" s="18" t="str">
        <f aca="true">IF(OR(A55="",C55=""),"",C55-TODAY())</f>
        <v/>
      </c>
      <c r="I55" s="19" t="str">
        <f aca="true">IF(OR(A55="",C55=""),"",IF(G55="Terminada","Hecha",IF(C55&lt;TODAY(),"Vencida",IF(C55-TODAY()&lt;=Instrucciones!$C$16,"Urgente",IF(E55&lt;&gt;"Sí","Verificar fecha","")))))</f>
        <v/>
      </c>
      <c r="J55" s="0" t="str">
        <f aca="true">IF(OR($A55="",$C55="",$G55="Terminada"),"",IF($C55&lt;=TODAY()+6,$C55+ROW()/100000,""))</f>
        <v/>
      </c>
      <c r="K55" s="0" t="str">
        <f aca="false">IF(J55="","",COUNTIF($J$2:$J$201,"&lt;"&amp;J55)+1)</f>
        <v/>
      </c>
    </row>
    <row r="56" customFormat="false" ht="15" hidden="false" customHeight="false" outlineLevel="0" collapsed="false">
      <c r="A56" s="12"/>
      <c r="B56" s="12"/>
      <c r="C56" s="15"/>
      <c r="D56" s="16"/>
      <c r="E56" s="17"/>
      <c r="F56" s="17"/>
      <c r="G56" s="17"/>
      <c r="H56" s="18" t="str">
        <f aca="true">IF(OR(A56="",C56=""),"",C56-TODAY())</f>
        <v/>
      </c>
      <c r="I56" s="19" t="str">
        <f aca="true">IF(OR(A56="",C56=""),"",IF(G56="Terminada","Hecha",IF(C56&lt;TODAY(),"Vencida",IF(C56-TODAY()&lt;=Instrucciones!$C$16,"Urgente",IF(E56&lt;&gt;"Sí","Verificar fecha","")))))</f>
        <v/>
      </c>
      <c r="J56" s="0" t="str">
        <f aca="true">IF(OR($A56="",$C56="",$G56="Terminada"),"",IF($C56&lt;=TODAY()+6,$C56+ROW()/100000,""))</f>
        <v/>
      </c>
      <c r="K56" s="0" t="str">
        <f aca="false">IF(J56="","",COUNTIF($J$2:$J$201,"&lt;"&amp;J56)+1)</f>
        <v/>
      </c>
    </row>
    <row r="57" customFormat="false" ht="15" hidden="false" customHeight="false" outlineLevel="0" collapsed="false">
      <c r="A57" s="12"/>
      <c r="B57" s="12"/>
      <c r="C57" s="15"/>
      <c r="D57" s="16"/>
      <c r="E57" s="17"/>
      <c r="F57" s="17"/>
      <c r="G57" s="17"/>
      <c r="H57" s="18" t="str">
        <f aca="true">IF(OR(A57="",C57=""),"",C57-TODAY())</f>
        <v/>
      </c>
      <c r="I57" s="19" t="str">
        <f aca="true">IF(OR(A57="",C57=""),"",IF(G57="Terminada","Hecha",IF(C57&lt;TODAY(),"Vencida",IF(C57-TODAY()&lt;=Instrucciones!$C$16,"Urgente",IF(E57&lt;&gt;"Sí","Verificar fecha","")))))</f>
        <v/>
      </c>
      <c r="J57" s="0" t="str">
        <f aca="true">IF(OR($A57="",$C57="",$G57="Terminada"),"",IF($C57&lt;=TODAY()+6,$C57+ROW()/100000,""))</f>
        <v/>
      </c>
      <c r="K57" s="0" t="str">
        <f aca="false">IF(J57="","",COUNTIF($J$2:$J$201,"&lt;"&amp;J57)+1)</f>
        <v/>
      </c>
    </row>
    <row r="58" customFormat="false" ht="15" hidden="false" customHeight="false" outlineLevel="0" collapsed="false">
      <c r="A58" s="12"/>
      <c r="B58" s="12"/>
      <c r="C58" s="15"/>
      <c r="D58" s="16"/>
      <c r="E58" s="17"/>
      <c r="F58" s="17"/>
      <c r="G58" s="17"/>
      <c r="H58" s="18" t="str">
        <f aca="true">IF(OR(A58="",C58=""),"",C58-TODAY())</f>
        <v/>
      </c>
      <c r="I58" s="19" t="str">
        <f aca="true">IF(OR(A58="",C58=""),"",IF(G58="Terminada","Hecha",IF(C58&lt;TODAY(),"Vencida",IF(C58-TODAY()&lt;=Instrucciones!$C$16,"Urgente",IF(E58&lt;&gt;"Sí","Verificar fecha","")))))</f>
        <v/>
      </c>
      <c r="J58" s="0" t="str">
        <f aca="true">IF(OR($A58="",$C58="",$G58="Terminada"),"",IF($C58&lt;=TODAY()+6,$C58+ROW()/100000,""))</f>
        <v/>
      </c>
      <c r="K58" s="0" t="str">
        <f aca="false">IF(J58="","",COUNTIF($J$2:$J$201,"&lt;"&amp;J58)+1)</f>
        <v/>
      </c>
    </row>
    <row r="59" customFormat="false" ht="15" hidden="false" customHeight="false" outlineLevel="0" collapsed="false">
      <c r="A59" s="12"/>
      <c r="B59" s="12"/>
      <c r="C59" s="15"/>
      <c r="D59" s="16"/>
      <c r="E59" s="17"/>
      <c r="F59" s="17"/>
      <c r="G59" s="17"/>
      <c r="H59" s="18" t="str">
        <f aca="true">IF(OR(A59="",C59=""),"",C59-TODAY())</f>
        <v/>
      </c>
      <c r="I59" s="19" t="str">
        <f aca="true">IF(OR(A59="",C59=""),"",IF(G59="Terminada","Hecha",IF(C59&lt;TODAY(),"Vencida",IF(C59-TODAY()&lt;=Instrucciones!$C$16,"Urgente",IF(E59&lt;&gt;"Sí","Verificar fecha","")))))</f>
        <v/>
      </c>
      <c r="J59" s="0" t="str">
        <f aca="true">IF(OR($A59="",$C59="",$G59="Terminada"),"",IF($C59&lt;=TODAY()+6,$C59+ROW()/100000,""))</f>
        <v/>
      </c>
      <c r="K59" s="0" t="str">
        <f aca="false">IF(J59="","",COUNTIF($J$2:$J$201,"&lt;"&amp;J59)+1)</f>
        <v/>
      </c>
    </row>
    <row r="60" customFormat="false" ht="15" hidden="false" customHeight="false" outlineLevel="0" collapsed="false">
      <c r="A60" s="12"/>
      <c r="B60" s="12"/>
      <c r="C60" s="15"/>
      <c r="D60" s="16"/>
      <c r="E60" s="17"/>
      <c r="F60" s="17"/>
      <c r="G60" s="17"/>
      <c r="H60" s="18" t="str">
        <f aca="true">IF(OR(A60="",C60=""),"",C60-TODAY())</f>
        <v/>
      </c>
      <c r="I60" s="19" t="str">
        <f aca="true">IF(OR(A60="",C60=""),"",IF(G60="Terminada","Hecha",IF(C60&lt;TODAY(),"Vencida",IF(C60-TODAY()&lt;=Instrucciones!$C$16,"Urgente",IF(E60&lt;&gt;"Sí","Verificar fecha","")))))</f>
        <v/>
      </c>
      <c r="J60" s="0" t="str">
        <f aca="true">IF(OR($A60="",$C60="",$G60="Terminada"),"",IF($C60&lt;=TODAY()+6,$C60+ROW()/100000,""))</f>
        <v/>
      </c>
      <c r="K60" s="0" t="str">
        <f aca="false">IF(J60="","",COUNTIF($J$2:$J$201,"&lt;"&amp;J60)+1)</f>
        <v/>
      </c>
    </row>
    <row r="61" customFormat="false" ht="15" hidden="false" customHeight="false" outlineLevel="0" collapsed="false">
      <c r="A61" s="12"/>
      <c r="B61" s="12"/>
      <c r="C61" s="15"/>
      <c r="D61" s="16"/>
      <c r="E61" s="17"/>
      <c r="F61" s="17"/>
      <c r="G61" s="17"/>
      <c r="H61" s="18" t="str">
        <f aca="true">IF(OR(A61="",C61=""),"",C61-TODAY())</f>
        <v/>
      </c>
      <c r="I61" s="19" t="str">
        <f aca="true">IF(OR(A61="",C61=""),"",IF(G61="Terminada","Hecha",IF(C61&lt;TODAY(),"Vencida",IF(C61-TODAY()&lt;=Instrucciones!$C$16,"Urgente",IF(E61&lt;&gt;"Sí","Verificar fecha","")))))</f>
        <v/>
      </c>
      <c r="J61" s="0" t="str">
        <f aca="true">IF(OR($A61="",$C61="",$G61="Terminada"),"",IF($C61&lt;=TODAY()+6,$C61+ROW()/100000,""))</f>
        <v/>
      </c>
      <c r="K61" s="0" t="str">
        <f aca="false">IF(J61="","",COUNTIF($J$2:$J$201,"&lt;"&amp;J61)+1)</f>
        <v/>
      </c>
    </row>
    <row r="62" customFormat="false" ht="15" hidden="false" customHeight="false" outlineLevel="0" collapsed="false">
      <c r="A62" s="12"/>
      <c r="B62" s="12"/>
      <c r="C62" s="15"/>
      <c r="D62" s="16"/>
      <c r="E62" s="17"/>
      <c r="F62" s="17"/>
      <c r="G62" s="17"/>
      <c r="H62" s="18" t="str">
        <f aca="true">IF(OR(A62="",C62=""),"",C62-TODAY())</f>
        <v/>
      </c>
      <c r="I62" s="19" t="str">
        <f aca="true">IF(OR(A62="",C62=""),"",IF(G62="Terminada","Hecha",IF(C62&lt;TODAY(),"Vencida",IF(C62-TODAY()&lt;=Instrucciones!$C$16,"Urgente",IF(E62&lt;&gt;"Sí","Verificar fecha","")))))</f>
        <v/>
      </c>
      <c r="J62" s="0" t="str">
        <f aca="true">IF(OR($A62="",$C62="",$G62="Terminada"),"",IF($C62&lt;=TODAY()+6,$C62+ROW()/100000,""))</f>
        <v/>
      </c>
      <c r="K62" s="0" t="str">
        <f aca="false">IF(J62="","",COUNTIF($J$2:$J$201,"&lt;"&amp;J62)+1)</f>
        <v/>
      </c>
    </row>
    <row r="63" customFormat="false" ht="15" hidden="false" customHeight="false" outlineLevel="0" collapsed="false">
      <c r="A63" s="12"/>
      <c r="B63" s="12"/>
      <c r="C63" s="15"/>
      <c r="D63" s="16"/>
      <c r="E63" s="17"/>
      <c r="F63" s="17"/>
      <c r="G63" s="17"/>
      <c r="H63" s="18" t="str">
        <f aca="true">IF(OR(A63="",C63=""),"",C63-TODAY())</f>
        <v/>
      </c>
      <c r="I63" s="19" t="str">
        <f aca="true">IF(OR(A63="",C63=""),"",IF(G63="Terminada","Hecha",IF(C63&lt;TODAY(),"Vencida",IF(C63-TODAY()&lt;=Instrucciones!$C$16,"Urgente",IF(E63&lt;&gt;"Sí","Verificar fecha","")))))</f>
        <v/>
      </c>
      <c r="J63" s="0" t="str">
        <f aca="true">IF(OR($A63="",$C63="",$G63="Terminada"),"",IF($C63&lt;=TODAY()+6,$C63+ROW()/100000,""))</f>
        <v/>
      </c>
      <c r="K63" s="0" t="str">
        <f aca="false">IF(J63="","",COUNTIF($J$2:$J$201,"&lt;"&amp;J63)+1)</f>
        <v/>
      </c>
    </row>
    <row r="64" customFormat="false" ht="15" hidden="false" customHeight="false" outlineLevel="0" collapsed="false">
      <c r="A64" s="12"/>
      <c r="B64" s="12"/>
      <c r="C64" s="15"/>
      <c r="D64" s="16"/>
      <c r="E64" s="17"/>
      <c r="F64" s="17"/>
      <c r="G64" s="17"/>
      <c r="H64" s="18" t="str">
        <f aca="true">IF(OR(A64="",C64=""),"",C64-TODAY())</f>
        <v/>
      </c>
      <c r="I64" s="19" t="str">
        <f aca="true">IF(OR(A64="",C64=""),"",IF(G64="Terminada","Hecha",IF(C64&lt;TODAY(),"Vencida",IF(C64-TODAY()&lt;=Instrucciones!$C$16,"Urgente",IF(E64&lt;&gt;"Sí","Verificar fecha","")))))</f>
        <v/>
      </c>
      <c r="J64" s="0" t="str">
        <f aca="true">IF(OR($A64="",$C64="",$G64="Terminada"),"",IF($C64&lt;=TODAY()+6,$C64+ROW()/100000,""))</f>
        <v/>
      </c>
      <c r="K64" s="0" t="str">
        <f aca="false">IF(J64="","",COUNTIF($J$2:$J$201,"&lt;"&amp;J64)+1)</f>
        <v/>
      </c>
    </row>
    <row r="65" customFormat="false" ht="15" hidden="false" customHeight="false" outlineLevel="0" collapsed="false">
      <c r="A65" s="12"/>
      <c r="B65" s="12"/>
      <c r="C65" s="15"/>
      <c r="D65" s="16"/>
      <c r="E65" s="17"/>
      <c r="F65" s="17"/>
      <c r="G65" s="17"/>
      <c r="H65" s="18" t="str">
        <f aca="true">IF(OR(A65="",C65=""),"",C65-TODAY())</f>
        <v/>
      </c>
      <c r="I65" s="19" t="str">
        <f aca="true">IF(OR(A65="",C65=""),"",IF(G65="Terminada","Hecha",IF(C65&lt;TODAY(),"Vencida",IF(C65-TODAY()&lt;=Instrucciones!$C$16,"Urgente",IF(E65&lt;&gt;"Sí","Verificar fecha","")))))</f>
        <v/>
      </c>
      <c r="J65" s="0" t="str">
        <f aca="true">IF(OR($A65="",$C65="",$G65="Terminada"),"",IF($C65&lt;=TODAY()+6,$C65+ROW()/100000,""))</f>
        <v/>
      </c>
      <c r="K65" s="0" t="str">
        <f aca="false">IF(J65="","",COUNTIF($J$2:$J$201,"&lt;"&amp;J65)+1)</f>
        <v/>
      </c>
    </row>
    <row r="66" customFormat="false" ht="15" hidden="false" customHeight="false" outlineLevel="0" collapsed="false">
      <c r="A66" s="12"/>
      <c r="B66" s="12"/>
      <c r="C66" s="15"/>
      <c r="D66" s="16"/>
      <c r="E66" s="17"/>
      <c r="F66" s="17"/>
      <c r="G66" s="17"/>
      <c r="H66" s="18" t="str">
        <f aca="true">IF(OR(A66="",C66=""),"",C66-TODAY())</f>
        <v/>
      </c>
      <c r="I66" s="19" t="str">
        <f aca="true">IF(OR(A66="",C66=""),"",IF(G66="Terminada","Hecha",IF(C66&lt;TODAY(),"Vencida",IF(C66-TODAY()&lt;=Instrucciones!$C$16,"Urgente",IF(E66&lt;&gt;"Sí","Verificar fecha","")))))</f>
        <v/>
      </c>
      <c r="J66" s="0" t="str">
        <f aca="true">IF(OR($A66="",$C66="",$G66="Terminada"),"",IF($C66&lt;=TODAY()+6,$C66+ROW()/100000,""))</f>
        <v/>
      </c>
      <c r="K66" s="0" t="str">
        <f aca="false">IF(J66="","",COUNTIF($J$2:$J$201,"&lt;"&amp;J66)+1)</f>
        <v/>
      </c>
    </row>
    <row r="67" customFormat="false" ht="15" hidden="false" customHeight="false" outlineLevel="0" collapsed="false">
      <c r="A67" s="12"/>
      <c r="B67" s="12"/>
      <c r="C67" s="15"/>
      <c r="D67" s="16"/>
      <c r="E67" s="17"/>
      <c r="F67" s="17"/>
      <c r="G67" s="17"/>
      <c r="H67" s="18" t="str">
        <f aca="true">IF(OR(A67="",C67=""),"",C67-TODAY())</f>
        <v/>
      </c>
      <c r="I67" s="19" t="str">
        <f aca="true">IF(OR(A67="",C67=""),"",IF(G67="Terminada","Hecha",IF(C67&lt;TODAY(),"Vencida",IF(C67-TODAY()&lt;=Instrucciones!$C$16,"Urgente",IF(E67&lt;&gt;"Sí","Verificar fecha","")))))</f>
        <v/>
      </c>
      <c r="J67" s="0" t="str">
        <f aca="true">IF(OR($A67="",$C67="",$G67="Terminada"),"",IF($C67&lt;=TODAY()+6,$C67+ROW()/100000,""))</f>
        <v/>
      </c>
      <c r="K67" s="0" t="str">
        <f aca="false">IF(J67="","",COUNTIF($J$2:$J$201,"&lt;"&amp;J67)+1)</f>
        <v/>
      </c>
    </row>
    <row r="68" customFormat="false" ht="15" hidden="false" customHeight="false" outlineLevel="0" collapsed="false">
      <c r="A68" s="12"/>
      <c r="B68" s="12"/>
      <c r="C68" s="15"/>
      <c r="D68" s="16"/>
      <c r="E68" s="17"/>
      <c r="F68" s="17"/>
      <c r="G68" s="17"/>
      <c r="H68" s="18" t="str">
        <f aca="true">IF(OR(A68="",C68=""),"",C68-TODAY())</f>
        <v/>
      </c>
      <c r="I68" s="19" t="str">
        <f aca="true">IF(OR(A68="",C68=""),"",IF(G68="Terminada","Hecha",IF(C68&lt;TODAY(),"Vencida",IF(C68-TODAY()&lt;=Instrucciones!$C$16,"Urgente",IF(E68&lt;&gt;"Sí","Verificar fecha","")))))</f>
        <v/>
      </c>
      <c r="J68" s="0" t="str">
        <f aca="true">IF(OR($A68="",$C68="",$G68="Terminada"),"",IF($C68&lt;=TODAY()+6,$C68+ROW()/100000,""))</f>
        <v/>
      </c>
      <c r="K68" s="0" t="str">
        <f aca="false">IF(J68="","",COUNTIF($J$2:$J$201,"&lt;"&amp;J68)+1)</f>
        <v/>
      </c>
    </row>
    <row r="69" customFormat="false" ht="15" hidden="false" customHeight="false" outlineLevel="0" collapsed="false">
      <c r="A69" s="12"/>
      <c r="B69" s="12"/>
      <c r="C69" s="15"/>
      <c r="D69" s="16"/>
      <c r="E69" s="17"/>
      <c r="F69" s="17"/>
      <c r="G69" s="17"/>
      <c r="H69" s="18" t="str">
        <f aca="true">IF(OR(A69="",C69=""),"",C69-TODAY())</f>
        <v/>
      </c>
      <c r="I69" s="19" t="str">
        <f aca="true">IF(OR(A69="",C69=""),"",IF(G69="Terminada","Hecha",IF(C69&lt;TODAY(),"Vencida",IF(C69-TODAY()&lt;=Instrucciones!$C$16,"Urgente",IF(E69&lt;&gt;"Sí","Verificar fecha","")))))</f>
        <v/>
      </c>
      <c r="J69" s="0" t="str">
        <f aca="true">IF(OR($A69="",$C69="",$G69="Terminada"),"",IF($C69&lt;=TODAY()+6,$C69+ROW()/100000,""))</f>
        <v/>
      </c>
      <c r="K69" s="0" t="str">
        <f aca="false">IF(J69="","",COUNTIF($J$2:$J$201,"&lt;"&amp;J69)+1)</f>
        <v/>
      </c>
    </row>
    <row r="70" customFormat="false" ht="15" hidden="false" customHeight="false" outlineLevel="0" collapsed="false">
      <c r="A70" s="12"/>
      <c r="B70" s="12"/>
      <c r="C70" s="15"/>
      <c r="D70" s="16"/>
      <c r="E70" s="17"/>
      <c r="F70" s="17"/>
      <c r="G70" s="17"/>
      <c r="H70" s="18" t="str">
        <f aca="true">IF(OR(A70="",C70=""),"",C70-TODAY())</f>
        <v/>
      </c>
      <c r="I70" s="19" t="str">
        <f aca="true">IF(OR(A70="",C70=""),"",IF(G70="Terminada","Hecha",IF(C70&lt;TODAY(),"Vencida",IF(C70-TODAY()&lt;=Instrucciones!$C$16,"Urgente",IF(E70&lt;&gt;"Sí","Verificar fecha","")))))</f>
        <v/>
      </c>
      <c r="J70" s="0" t="str">
        <f aca="true">IF(OR($A70="",$C70="",$G70="Terminada"),"",IF($C70&lt;=TODAY()+6,$C70+ROW()/100000,""))</f>
        <v/>
      </c>
      <c r="K70" s="0" t="str">
        <f aca="false">IF(J70="","",COUNTIF($J$2:$J$201,"&lt;"&amp;J70)+1)</f>
        <v/>
      </c>
    </row>
    <row r="71" customFormat="false" ht="15" hidden="false" customHeight="false" outlineLevel="0" collapsed="false">
      <c r="A71" s="12"/>
      <c r="B71" s="12"/>
      <c r="C71" s="15"/>
      <c r="D71" s="16"/>
      <c r="E71" s="17"/>
      <c r="F71" s="17"/>
      <c r="G71" s="17"/>
      <c r="H71" s="18" t="str">
        <f aca="true">IF(OR(A71="",C71=""),"",C71-TODAY())</f>
        <v/>
      </c>
      <c r="I71" s="19" t="str">
        <f aca="true">IF(OR(A71="",C71=""),"",IF(G71="Terminada","Hecha",IF(C71&lt;TODAY(),"Vencida",IF(C71-TODAY()&lt;=Instrucciones!$C$16,"Urgente",IF(E71&lt;&gt;"Sí","Verificar fecha","")))))</f>
        <v/>
      </c>
      <c r="J71" s="0" t="str">
        <f aca="true">IF(OR($A71="",$C71="",$G71="Terminada"),"",IF($C71&lt;=TODAY()+6,$C71+ROW()/100000,""))</f>
        <v/>
      </c>
      <c r="K71" s="0" t="str">
        <f aca="false">IF(J71="","",COUNTIF($J$2:$J$201,"&lt;"&amp;J71)+1)</f>
        <v/>
      </c>
    </row>
    <row r="72" customFormat="false" ht="15" hidden="false" customHeight="false" outlineLevel="0" collapsed="false">
      <c r="A72" s="12"/>
      <c r="B72" s="12"/>
      <c r="C72" s="15"/>
      <c r="D72" s="16"/>
      <c r="E72" s="17"/>
      <c r="F72" s="17"/>
      <c r="G72" s="17"/>
      <c r="H72" s="18" t="str">
        <f aca="true">IF(OR(A72="",C72=""),"",C72-TODAY())</f>
        <v/>
      </c>
      <c r="I72" s="19" t="str">
        <f aca="true">IF(OR(A72="",C72=""),"",IF(G72="Terminada","Hecha",IF(C72&lt;TODAY(),"Vencida",IF(C72-TODAY()&lt;=Instrucciones!$C$16,"Urgente",IF(E72&lt;&gt;"Sí","Verificar fecha","")))))</f>
        <v/>
      </c>
      <c r="J72" s="0" t="str">
        <f aca="true">IF(OR($A72="",$C72="",$G72="Terminada"),"",IF($C72&lt;=TODAY()+6,$C72+ROW()/100000,""))</f>
        <v/>
      </c>
      <c r="K72" s="0" t="str">
        <f aca="false">IF(J72="","",COUNTIF($J$2:$J$201,"&lt;"&amp;J72)+1)</f>
        <v/>
      </c>
    </row>
    <row r="73" customFormat="false" ht="15" hidden="false" customHeight="false" outlineLevel="0" collapsed="false">
      <c r="A73" s="12"/>
      <c r="B73" s="12"/>
      <c r="C73" s="15"/>
      <c r="D73" s="16"/>
      <c r="E73" s="17"/>
      <c r="F73" s="17"/>
      <c r="G73" s="17"/>
      <c r="H73" s="18" t="str">
        <f aca="true">IF(OR(A73="",C73=""),"",C73-TODAY())</f>
        <v/>
      </c>
      <c r="I73" s="19" t="str">
        <f aca="true">IF(OR(A73="",C73=""),"",IF(G73="Terminada","Hecha",IF(C73&lt;TODAY(),"Vencida",IF(C73-TODAY()&lt;=Instrucciones!$C$16,"Urgente",IF(E73&lt;&gt;"Sí","Verificar fecha","")))))</f>
        <v/>
      </c>
      <c r="J73" s="0" t="str">
        <f aca="true">IF(OR($A73="",$C73="",$G73="Terminada"),"",IF($C73&lt;=TODAY()+6,$C73+ROW()/100000,""))</f>
        <v/>
      </c>
      <c r="K73" s="0" t="str">
        <f aca="false">IF(J73="","",COUNTIF($J$2:$J$201,"&lt;"&amp;J73)+1)</f>
        <v/>
      </c>
    </row>
    <row r="74" customFormat="false" ht="15" hidden="false" customHeight="false" outlineLevel="0" collapsed="false">
      <c r="A74" s="12"/>
      <c r="B74" s="12"/>
      <c r="C74" s="15"/>
      <c r="D74" s="16"/>
      <c r="E74" s="17"/>
      <c r="F74" s="17"/>
      <c r="G74" s="17"/>
      <c r="H74" s="18" t="str">
        <f aca="true">IF(OR(A74="",C74=""),"",C74-TODAY())</f>
        <v/>
      </c>
      <c r="I74" s="19" t="str">
        <f aca="true">IF(OR(A74="",C74=""),"",IF(G74="Terminada","Hecha",IF(C74&lt;TODAY(),"Vencida",IF(C74-TODAY()&lt;=Instrucciones!$C$16,"Urgente",IF(E74&lt;&gt;"Sí","Verificar fecha","")))))</f>
        <v/>
      </c>
      <c r="J74" s="0" t="str">
        <f aca="true">IF(OR($A74="",$C74="",$G74="Terminada"),"",IF($C74&lt;=TODAY()+6,$C74+ROW()/100000,""))</f>
        <v/>
      </c>
      <c r="K74" s="0" t="str">
        <f aca="false">IF(J74="","",COUNTIF($J$2:$J$201,"&lt;"&amp;J74)+1)</f>
        <v/>
      </c>
    </row>
    <row r="75" customFormat="false" ht="15" hidden="false" customHeight="false" outlineLevel="0" collapsed="false">
      <c r="A75" s="12"/>
      <c r="B75" s="12"/>
      <c r="C75" s="15"/>
      <c r="D75" s="16"/>
      <c r="E75" s="17"/>
      <c r="F75" s="17"/>
      <c r="G75" s="17"/>
      <c r="H75" s="18" t="str">
        <f aca="true">IF(OR(A75="",C75=""),"",C75-TODAY())</f>
        <v/>
      </c>
      <c r="I75" s="19" t="str">
        <f aca="true">IF(OR(A75="",C75=""),"",IF(G75="Terminada","Hecha",IF(C75&lt;TODAY(),"Vencida",IF(C75-TODAY()&lt;=Instrucciones!$C$16,"Urgente",IF(E75&lt;&gt;"Sí","Verificar fecha","")))))</f>
        <v/>
      </c>
      <c r="J75" s="0" t="str">
        <f aca="true">IF(OR($A75="",$C75="",$G75="Terminada"),"",IF($C75&lt;=TODAY()+6,$C75+ROW()/100000,""))</f>
        <v/>
      </c>
      <c r="K75" s="0" t="str">
        <f aca="false">IF(J75="","",COUNTIF($J$2:$J$201,"&lt;"&amp;J75)+1)</f>
        <v/>
      </c>
    </row>
    <row r="76" customFormat="false" ht="15" hidden="false" customHeight="false" outlineLevel="0" collapsed="false">
      <c r="A76" s="12"/>
      <c r="B76" s="12"/>
      <c r="C76" s="15"/>
      <c r="D76" s="16"/>
      <c r="E76" s="17"/>
      <c r="F76" s="17"/>
      <c r="G76" s="17"/>
      <c r="H76" s="18" t="str">
        <f aca="true">IF(OR(A76="",C76=""),"",C76-TODAY())</f>
        <v/>
      </c>
      <c r="I76" s="19" t="str">
        <f aca="true">IF(OR(A76="",C76=""),"",IF(G76="Terminada","Hecha",IF(C76&lt;TODAY(),"Vencida",IF(C76-TODAY()&lt;=Instrucciones!$C$16,"Urgente",IF(E76&lt;&gt;"Sí","Verificar fecha","")))))</f>
        <v/>
      </c>
      <c r="J76" s="0" t="str">
        <f aca="true">IF(OR($A76="",$C76="",$G76="Terminada"),"",IF($C76&lt;=TODAY()+6,$C76+ROW()/100000,""))</f>
        <v/>
      </c>
      <c r="K76" s="0" t="str">
        <f aca="false">IF(J76="","",COUNTIF($J$2:$J$201,"&lt;"&amp;J76)+1)</f>
        <v/>
      </c>
    </row>
    <row r="77" customFormat="false" ht="15" hidden="false" customHeight="false" outlineLevel="0" collapsed="false">
      <c r="A77" s="12"/>
      <c r="B77" s="12"/>
      <c r="C77" s="15"/>
      <c r="D77" s="16"/>
      <c r="E77" s="17"/>
      <c r="F77" s="17"/>
      <c r="G77" s="17"/>
      <c r="H77" s="18" t="str">
        <f aca="true">IF(OR(A77="",C77=""),"",C77-TODAY())</f>
        <v/>
      </c>
      <c r="I77" s="19" t="str">
        <f aca="true">IF(OR(A77="",C77=""),"",IF(G77="Terminada","Hecha",IF(C77&lt;TODAY(),"Vencida",IF(C77-TODAY()&lt;=Instrucciones!$C$16,"Urgente",IF(E77&lt;&gt;"Sí","Verificar fecha","")))))</f>
        <v/>
      </c>
      <c r="J77" s="0" t="str">
        <f aca="true">IF(OR($A77="",$C77="",$G77="Terminada"),"",IF($C77&lt;=TODAY()+6,$C77+ROW()/100000,""))</f>
        <v/>
      </c>
      <c r="K77" s="0" t="str">
        <f aca="false">IF(J77="","",COUNTIF($J$2:$J$201,"&lt;"&amp;J77)+1)</f>
        <v/>
      </c>
    </row>
    <row r="78" customFormat="false" ht="15" hidden="false" customHeight="false" outlineLevel="0" collapsed="false">
      <c r="A78" s="12"/>
      <c r="B78" s="12"/>
      <c r="C78" s="15"/>
      <c r="D78" s="16"/>
      <c r="E78" s="17"/>
      <c r="F78" s="17"/>
      <c r="G78" s="17"/>
      <c r="H78" s="18" t="str">
        <f aca="true">IF(OR(A78="",C78=""),"",C78-TODAY())</f>
        <v/>
      </c>
      <c r="I78" s="19" t="str">
        <f aca="true">IF(OR(A78="",C78=""),"",IF(G78="Terminada","Hecha",IF(C78&lt;TODAY(),"Vencida",IF(C78-TODAY()&lt;=Instrucciones!$C$16,"Urgente",IF(E78&lt;&gt;"Sí","Verificar fecha","")))))</f>
        <v/>
      </c>
      <c r="J78" s="0" t="str">
        <f aca="true">IF(OR($A78="",$C78="",$G78="Terminada"),"",IF($C78&lt;=TODAY()+6,$C78+ROW()/100000,""))</f>
        <v/>
      </c>
      <c r="K78" s="0" t="str">
        <f aca="false">IF(J78="","",COUNTIF($J$2:$J$201,"&lt;"&amp;J78)+1)</f>
        <v/>
      </c>
    </row>
    <row r="79" customFormat="false" ht="15" hidden="false" customHeight="false" outlineLevel="0" collapsed="false">
      <c r="A79" s="12"/>
      <c r="B79" s="12"/>
      <c r="C79" s="15"/>
      <c r="D79" s="16"/>
      <c r="E79" s="17"/>
      <c r="F79" s="17"/>
      <c r="G79" s="17"/>
      <c r="H79" s="18" t="str">
        <f aca="true">IF(OR(A79="",C79=""),"",C79-TODAY())</f>
        <v/>
      </c>
      <c r="I79" s="19" t="str">
        <f aca="true">IF(OR(A79="",C79=""),"",IF(G79="Terminada","Hecha",IF(C79&lt;TODAY(),"Vencida",IF(C79-TODAY()&lt;=Instrucciones!$C$16,"Urgente",IF(E79&lt;&gt;"Sí","Verificar fecha","")))))</f>
        <v/>
      </c>
      <c r="J79" s="0" t="str">
        <f aca="true">IF(OR($A79="",$C79="",$G79="Terminada"),"",IF($C79&lt;=TODAY()+6,$C79+ROW()/100000,""))</f>
        <v/>
      </c>
      <c r="K79" s="0" t="str">
        <f aca="false">IF(J79="","",COUNTIF($J$2:$J$201,"&lt;"&amp;J79)+1)</f>
        <v/>
      </c>
    </row>
    <row r="80" customFormat="false" ht="15" hidden="false" customHeight="false" outlineLevel="0" collapsed="false">
      <c r="A80" s="12"/>
      <c r="B80" s="12"/>
      <c r="C80" s="15"/>
      <c r="D80" s="16"/>
      <c r="E80" s="17"/>
      <c r="F80" s="17"/>
      <c r="G80" s="17"/>
      <c r="H80" s="18" t="str">
        <f aca="true">IF(OR(A80="",C80=""),"",C80-TODAY())</f>
        <v/>
      </c>
      <c r="I80" s="19" t="str">
        <f aca="true">IF(OR(A80="",C80=""),"",IF(G80="Terminada","Hecha",IF(C80&lt;TODAY(),"Vencida",IF(C80-TODAY()&lt;=Instrucciones!$C$16,"Urgente",IF(E80&lt;&gt;"Sí","Verificar fecha","")))))</f>
        <v/>
      </c>
      <c r="J80" s="0" t="str">
        <f aca="true">IF(OR($A80="",$C80="",$G80="Terminada"),"",IF($C80&lt;=TODAY()+6,$C80+ROW()/100000,""))</f>
        <v/>
      </c>
      <c r="K80" s="0" t="str">
        <f aca="false">IF(J80="","",COUNTIF($J$2:$J$201,"&lt;"&amp;J80)+1)</f>
        <v/>
      </c>
    </row>
    <row r="81" customFormat="false" ht="15" hidden="false" customHeight="false" outlineLevel="0" collapsed="false">
      <c r="A81" s="12"/>
      <c r="B81" s="12"/>
      <c r="C81" s="15"/>
      <c r="D81" s="16"/>
      <c r="E81" s="17"/>
      <c r="F81" s="17"/>
      <c r="G81" s="17"/>
      <c r="H81" s="18" t="str">
        <f aca="true">IF(OR(A81="",C81=""),"",C81-TODAY())</f>
        <v/>
      </c>
      <c r="I81" s="19" t="str">
        <f aca="true">IF(OR(A81="",C81=""),"",IF(G81="Terminada","Hecha",IF(C81&lt;TODAY(),"Vencida",IF(C81-TODAY()&lt;=Instrucciones!$C$16,"Urgente",IF(E81&lt;&gt;"Sí","Verificar fecha","")))))</f>
        <v/>
      </c>
      <c r="J81" s="0" t="str">
        <f aca="true">IF(OR($A81="",$C81="",$G81="Terminada"),"",IF($C81&lt;=TODAY()+6,$C81+ROW()/100000,""))</f>
        <v/>
      </c>
      <c r="K81" s="0" t="str">
        <f aca="false">IF(J81="","",COUNTIF($J$2:$J$201,"&lt;"&amp;J81)+1)</f>
        <v/>
      </c>
    </row>
    <row r="82" customFormat="false" ht="15" hidden="false" customHeight="false" outlineLevel="0" collapsed="false">
      <c r="A82" s="12"/>
      <c r="B82" s="12"/>
      <c r="C82" s="15"/>
      <c r="D82" s="16"/>
      <c r="E82" s="17"/>
      <c r="F82" s="17"/>
      <c r="G82" s="17"/>
      <c r="H82" s="18" t="str">
        <f aca="true">IF(OR(A82="",C82=""),"",C82-TODAY())</f>
        <v/>
      </c>
      <c r="I82" s="19" t="str">
        <f aca="true">IF(OR(A82="",C82=""),"",IF(G82="Terminada","Hecha",IF(C82&lt;TODAY(),"Vencida",IF(C82-TODAY()&lt;=Instrucciones!$C$16,"Urgente",IF(E82&lt;&gt;"Sí","Verificar fecha","")))))</f>
        <v/>
      </c>
      <c r="J82" s="0" t="str">
        <f aca="true">IF(OR($A82="",$C82="",$G82="Terminada"),"",IF($C82&lt;=TODAY()+6,$C82+ROW()/100000,""))</f>
        <v/>
      </c>
      <c r="K82" s="0" t="str">
        <f aca="false">IF(J82="","",COUNTIF($J$2:$J$201,"&lt;"&amp;J82)+1)</f>
        <v/>
      </c>
    </row>
    <row r="83" customFormat="false" ht="15" hidden="false" customHeight="false" outlineLevel="0" collapsed="false">
      <c r="A83" s="12"/>
      <c r="B83" s="12"/>
      <c r="C83" s="15"/>
      <c r="D83" s="16"/>
      <c r="E83" s="17"/>
      <c r="F83" s="17"/>
      <c r="G83" s="17"/>
      <c r="H83" s="18" t="str">
        <f aca="true">IF(OR(A83="",C83=""),"",C83-TODAY())</f>
        <v/>
      </c>
      <c r="I83" s="19" t="str">
        <f aca="true">IF(OR(A83="",C83=""),"",IF(G83="Terminada","Hecha",IF(C83&lt;TODAY(),"Vencida",IF(C83-TODAY()&lt;=Instrucciones!$C$16,"Urgente",IF(E83&lt;&gt;"Sí","Verificar fecha","")))))</f>
        <v/>
      </c>
      <c r="J83" s="0" t="str">
        <f aca="true">IF(OR($A83="",$C83="",$G83="Terminada"),"",IF($C83&lt;=TODAY()+6,$C83+ROW()/100000,""))</f>
        <v/>
      </c>
      <c r="K83" s="0" t="str">
        <f aca="false">IF(J83="","",COUNTIF($J$2:$J$201,"&lt;"&amp;J83)+1)</f>
        <v/>
      </c>
    </row>
    <row r="84" customFormat="false" ht="15" hidden="false" customHeight="false" outlineLevel="0" collapsed="false">
      <c r="A84" s="12"/>
      <c r="B84" s="12"/>
      <c r="C84" s="15"/>
      <c r="D84" s="16"/>
      <c r="E84" s="17"/>
      <c r="F84" s="17"/>
      <c r="G84" s="17"/>
      <c r="H84" s="18" t="str">
        <f aca="true">IF(OR(A84="",C84=""),"",C84-TODAY())</f>
        <v/>
      </c>
      <c r="I84" s="19" t="str">
        <f aca="true">IF(OR(A84="",C84=""),"",IF(G84="Terminada","Hecha",IF(C84&lt;TODAY(),"Vencida",IF(C84-TODAY()&lt;=Instrucciones!$C$16,"Urgente",IF(E84&lt;&gt;"Sí","Verificar fecha","")))))</f>
        <v/>
      </c>
      <c r="J84" s="0" t="str">
        <f aca="true">IF(OR($A84="",$C84="",$G84="Terminada"),"",IF($C84&lt;=TODAY()+6,$C84+ROW()/100000,""))</f>
        <v/>
      </c>
      <c r="K84" s="0" t="str">
        <f aca="false">IF(J84="","",COUNTIF($J$2:$J$201,"&lt;"&amp;J84)+1)</f>
        <v/>
      </c>
    </row>
    <row r="85" customFormat="false" ht="15" hidden="false" customHeight="false" outlineLevel="0" collapsed="false">
      <c r="A85" s="12"/>
      <c r="B85" s="12"/>
      <c r="C85" s="15"/>
      <c r="D85" s="16"/>
      <c r="E85" s="17"/>
      <c r="F85" s="17"/>
      <c r="G85" s="17"/>
      <c r="H85" s="18" t="str">
        <f aca="true">IF(OR(A85="",C85=""),"",C85-TODAY())</f>
        <v/>
      </c>
      <c r="I85" s="19" t="str">
        <f aca="true">IF(OR(A85="",C85=""),"",IF(G85="Terminada","Hecha",IF(C85&lt;TODAY(),"Vencida",IF(C85-TODAY()&lt;=Instrucciones!$C$16,"Urgente",IF(E85&lt;&gt;"Sí","Verificar fecha","")))))</f>
        <v/>
      </c>
      <c r="J85" s="0" t="str">
        <f aca="true">IF(OR($A85="",$C85="",$G85="Terminada"),"",IF($C85&lt;=TODAY()+6,$C85+ROW()/100000,""))</f>
        <v/>
      </c>
      <c r="K85" s="0" t="str">
        <f aca="false">IF(J85="","",COUNTIF($J$2:$J$201,"&lt;"&amp;J85)+1)</f>
        <v/>
      </c>
    </row>
    <row r="86" customFormat="false" ht="15" hidden="false" customHeight="false" outlineLevel="0" collapsed="false">
      <c r="A86" s="12"/>
      <c r="B86" s="12"/>
      <c r="C86" s="15"/>
      <c r="D86" s="16"/>
      <c r="E86" s="17"/>
      <c r="F86" s="17"/>
      <c r="G86" s="17"/>
      <c r="H86" s="18" t="str">
        <f aca="true">IF(OR(A86="",C86=""),"",C86-TODAY())</f>
        <v/>
      </c>
      <c r="I86" s="19" t="str">
        <f aca="true">IF(OR(A86="",C86=""),"",IF(G86="Terminada","Hecha",IF(C86&lt;TODAY(),"Vencida",IF(C86-TODAY()&lt;=Instrucciones!$C$16,"Urgente",IF(E86&lt;&gt;"Sí","Verificar fecha","")))))</f>
        <v/>
      </c>
      <c r="J86" s="0" t="str">
        <f aca="true">IF(OR($A86="",$C86="",$G86="Terminada"),"",IF($C86&lt;=TODAY()+6,$C86+ROW()/100000,""))</f>
        <v/>
      </c>
      <c r="K86" s="0" t="str">
        <f aca="false">IF(J86="","",COUNTIF($J$2:$J$201,"&lt;"&amp;J86)+1)</f>
        <v/>
      </c>
    </row>
    <row r="87" customFormat="false" ht="15" hidden="false" customHeight="false" outlineLevel="0" collapsed="false">
      <c r="A87" s="12"/>
      <c r="B87" s="12"/>
      <c r="C87" s="15"/>
      <c r="D87" s="16"/>
      <c r="E87" s="17"/>
      <c r="F87" s="17"/>
      <c r="G87" s="17"/>
      <c r="H87" s="18" t="str">
        <f aca="true">IF(OR(A87="",C87=""),"",C87-TODAY())</f>
        <v/>
      </c>
      <c r="I87" s="19" t="str">
        <f aca="true">IF(OR(A87="",C87=""),"",IF(G87="Terminada","Hecha",IF(C87&lt;TODAY(),"Vencida",IF(C87-TODAY()&lt;=Instrucciones!$C$16,"Urgente",IF(E87&lt;&gt;"Sí","Verificar fecha","")))))</f>
        <v/>
      </c>
      <c r="J87" s="0" t="str">
        <f aca="true">IF(OR($A87="",$C87="",$G87="Terminada"),"",IF($C87&lt;=TODAY()+6,$C87+ROW()/100000,""))</f>
        <v/>
      </c>
      <c r="K87" s="0" t="str">
        <f aca="false">IF(J87="","",COUNTIF($J$2:$J$201,"&lt;"&amp;J87)+1)</f>
        <v/>
      </c>
    </row>
    <row r="88" customFormat="false" ht="15" hidden="false" customHeight="false" outlineLevel="0" collapsed="false">
      <c r="A88" s="12"/>
      <c r="B88" s="12"/>
      <c r="C88" s="15"/>
      <c r="D88" s="16"/>
      <c r="E88" s="17"/>
      <c r="F88" s="17"/>
      <c r="G88" s="17"/>
      <c r="H88" s="18" t="str">
        <f aca="true">IF(OR(A88="",C88=""),"",C88-TODAY())</f>
        <v/>
      </c>
      <c r="I88" s="19" t="str">
        <f aca="true">IF(OR(A88="",C88=""),"",IF(G88="Terminada","Hecha",IF(C88&lt;TODAY(),"Vencida",IF(C88-TODAY()&lt;=Instrucciones!$C$16,"Urgente",IF(E88&lt;&gt;"Sí","Verificar fecha","")))))</f>
        <v/>
      </c>
      <c r="J88" s="0" t="str">
        <f aca="true">IF(OR($A88="",$C88="",$G88="Terminada"),"",IF($C88&lt;=TODAY()+6,$C88+ROW()/100000,""))</f>
        <v/>
      </c>
      <c r="K88" s="0" t="str">
        <f aca="false">IF(J88="","",COUNTIF($J$2:$J$201,"&lt;"&amp;J88)+1)</f>
        <v/>
      </c>
    </row>
    <row r="89" customFormat="false" ht="15" hidden="false" customHeight="false" outlineLevel="0" collapsed="false">
      <c r="A89" s="12"/>
      <c r="B89" s="12"/>
      <c r="C89" s="15"/>
      <c r="D89" s="16"/>
      <c r="E89" s="17"/>
      <c r="F89" s="17"/>
      <c r="G89" s="17"/>
      <c r="H89" s="18" t="str">
        <f aca="true">IF(OR(A89="",C89=""),"",C89-TODAY())</f>
        <v/>
      </c>
      <c r="I89" s="19" t="str">
        <f aca="true">IF(OR(A89="",C89=""),"",IF(G89="Terminada","Hecha",IF(C89&lt;TODAY(),"Vencida",IF(C89-TODAY()&lt;=Instrucciones!$C$16,"Urgente",IF(E89&lt;&gt;"Sí","Verificar fecha","")))))</f>
        <v/>
      </c>
      <c r="J89" s="0" t="str">
        <f aca="true">IF(OR($A89="",$C89="",$G89="Terminada"),"",IF($C89&lt;=TODAY()+6,$C89+ROW()/100000,""))</f>
        <v/>
      </c>
      <c r="K89" s="0" t="str">
        <f aca="false">IF(J89="","",COUNTIF($J$2:$J$201,"&lt;"&amp;J89)+1)</f>
        <v/>
      </c>
    </row>
    <row r="90" customFormat="false" ht="15" hidden="false" customHeight="false" outlineLevel="0" collapsed="false">
      <c r="A90" s="12"/>
      <c r="B90" s="12"/>
      <c r="C90" s="15"/>
      <c r="D90" s="16"/>
      <c r="E90" s="17"/>
      <c r="F90" s="17"/>
      <c r="G90" s="17"/>
      <c r="H90" s="18" t="str">
        <f aca="true">IF(OR(A90="",C90=""),"",C90-TODAY())</f>
        <v/>
      </c>
      <c r="I90" s="19" t="str">
        <f aca="true">IF(OR(A90="",C90=""),"",IF(G90="Terminada","Hecha",IF(C90&lt;TODAY(),"Vencida",IF(C90-TODAY()&lt;=Instrucciones!$C$16,"Urgente",IF(E90&lt;&gt;"Sí","Verificar fecha","")))))</f>
        <v/>
      </c>
      <c r="J90" s="0" t="str">
        <f aca="true">IF(OR($A90="",$C90="",$G90="Terminada"),"",IF($C90&lt;=TODAY()+6,$C90+ROW()/100000,""))</f>
        <v/>
      </c>
      <c r="K90" s="0" t="str">
        <f aca="false">IF(J90="","",COUNTIF($J$2:$J$201,"&lt;"&amp;J90)+1)</f>
        <v/>
      </c>
    </row>
    <row r="91" customFormat="false" ht="15" hidden="false" customHeight="false" outlineLevel="0" collapsed="false">
      <c r="A91" s="12"/>
      <c r="B91" s="12"/>
      <c r="C91" s="15"/>
      <c r="D91" s="16"/>
      <c r="E91" s="17"/>
      <c r="F91" s="17"/>
      <c r="G91" s="17"/>
      <c r="H91" s="18" t="str">
        <f aca="true">IF(OR(A91="",C91=""),"",C91-TODAY())</f>
        <v/>
      </c>
      <c r="I91" s="19" t="str">
        <f aca="true">IF(OR(A91="",C91=""),"",IF(G91="Terminada","Hecha",IF(C91&lt;TODAY(),"Vencida",IF(C91-TODAY()&lt;=Instrucciones!$C$16,"Urgente",IF(E91&lt;&gt;"Sí","Verificar fecha","")))))</f>
        <v/>
      </c>
      <c r="J91" s="0" t="str">
        <f aca="true">IF(OR($A91="",$C91="",$G91="Terminada"),"",IF($C91&lt;=TODAY()+6,$C91+ROW()/100000,""))</f>
        <v/>
      </c>
      <c r="K91" s="0" t="str">
        <f aca="false">IF(J91="","",COUNTIF($J$2:$J$201,"&lt;"&amp;J91)+1)</f>
        <v/>
      </c>
    </row>
    <row r="92" customFormat="false" ht="15" hidden="false" customHeight="false" outlineLevel="0" collapsed="false">
      <c r="A92" s="12"/>
      <c r="B92" s="12"/>
      <c r="C92" s="15"/>
      <c r="D92" s="16"/>
      <c r="E92" s="17"/>
      <c r="F92" s="17"/>
      <c r="G92" s="17"/>
      <c r="H92" s="18" t="str">
        <f aca="true">IF(OR(A92="",C92=""),"",C92-TODAY())</f>
        <v/>
      </c>
      <c r="I92" s="19" t="str">
        <f aca="true">IF(OR(A92="",C92=""),"",IF(G92="Terminada","Hecha",IF(C92&lt;TODAY(),"Vencida",IF(C92-TODAY()&lt;=Instrucciones!$C$16,"Urgente",IF(E92&lt;&gt;"Sí","Verificar fecha","")))))</f>
        <v/>
      </c>
      <c r="J92" s="0" t="str">
        <f aca="true">IF(OR($A92="",$C92="",$G92="Terminada"),"",IF($C92&lt;=TODAY()+6,$C92+ROW()/100000,""))</f>
        <v/>
      </c>
      <c r="K92" s="0" t="str">
        <f aca="false">IF(J92="","",COUNTIF($J$2:$J$201,"&lt;"&amp;J92)+1)</f>
        <v/>
      </c>
    </row>
    <row r="93" customFormat="false" ht="15" hidden="false" customHeight="false" outlineLevel="0" collapsed="false">
      <c r="A93" s="12"/>
      <c r="B93" s="12"/>
      <c r="C93" s="15"/>
      <c r="D93" s="16"/>
      <c r="E93" s="17"/>
      <c r="F93" s="17"/>
      <c r="G93" s="17"/>
      <c r="H93" s="18" t="str">
        <f aca="true">IF(OR(A93="",C93=""),"",C93-TODAY())</f>
        <v/>
      </c>
      <c r="I93" s="19" t="str">
        <f aca="true">IF(OR(A93="",C93=""),"",IF(G93="Terminada","Hecha",IF(C93&lt;TODAY(),"Vencida",IF(C93-TODAY()&lt;=Instrucciones!$C$16,"Urgente",IF(E93&lt;&gt;"Sí","Verificar fecha","")))))</f>
        <v/>
      </c>
      <c r="J93" s="0" t="str">
        <f aca="true">IF(OR($A93="",$C93="",$G93="Terminada"),"",IF($C93&lt;=TODAY()+6,$C93+ROW()/100000,""))</f>
        <v/>
      </c>
      <c r="K93" s="0" t="str">
        <f aca="false">IF(J93="","",COUNTIF($J$2:$J$201,"&lt;"&amp;J93)+1)</f>
        <v/>
      </c>
    </row>
    <row r="94" customFormat="false" ht="15" hidden="false" customHeight="false" outlineLevel="0" collapsed="false">
      <c r="A94" s="12"/>
      <c r="B94" s="12"/>
      <c r="C94" s="15"/>
      <c r="D94" s="16"/>
      <c r="E94" s="17"/>
      <c r="F94" s="17"/>
      <c r="G94" s="17"/>
      <c r="H94" s="18" t="str">
        <f aca="true">IF(OR(A94="",C94=""),"",C94-TODAY())</f>
        <v/>
      </c>
      <c r="I94" s="19" t="str">
        <f aca="true">IF(OR(A94="",C94=""),"",IF(G94="Terminada","Hecha",IF(C94&lt;TODAY(),"Vencida",IF(C94-TODAY()&lt;=Instrucciones!$C$16,"Urgente",IF(E94&lt;&gt;"Sí","Verificar fecha","")))))</f>
        <v/>
      </c>
      <c r="J94" s="0" t="str">
        <f aca="true">IF(OR($A94="",$C94="",$G94="Terminada"),"",IF($C94&lt;=TODAY()+6,$C94+ROW()/100000,""))</f>
        <v/>
      </c>
      <c r="K94" s="0" t="str">
        <f aca="false">IF(J94="","",COUNTIF($J$2:$J$201,"&lt;"&amp;J94)+1)</f>
        <v/>
      </c>
    </row>
    <row r="95" customFormat="false" ht="15" hidden="false" customHeight="false" outlineLevel="0" collapsed="false">
      <c r="A95" s="12"/>
      <c r="B95" s="12"/>
      <c r="C95" s="15"/>
      <c r="D95" s="16"/>
      <c r="E95" s="17"/>
      <c r="F95" s="17"/>
      <c r="G95" s="17"/>
      <c r="H95" s="18" t="str">
        <f aca="true">IF(OR(A95="",C95=""),"",C95-TODAY())</f>
        <v/>
      </c>
      <c r="I95" s="19" t="str">
        <f aca="true">IF(OR(A95="",C95=""),"",IF(G95="Terminada","Hecha",IF(C95&lt;TODAY(),"Vencida",IF(C95-TODAY()&lt;=Instrucciones!$C$16,"Urgente",IF(E95&lt;&gt;"Sí","Verificar fecha","")))))</f>
        <v/>
      </c>
      <c r="J95" s="0" t="str">
        <f aca="true">IF(OR($A95="",$C95="",$G95="Terminada"),"",IF($C95&lt;=TODAY()+6,$C95+ROW()/100000,""))</f>
        <v/>
      </c>
      <c r="K95" s="0" t="str">
        <f aca="false">IF(J95="","",COUNTIF($J$2:$J$201,"&lt;"&amp;J95)+1)</f>
        <v/>
      </c>
    </row>
    <row r="96" customFormat="false" ht="15" hidden="false" customHeight="false" outlineLevel="0" collapsed="false">
      <c r="A96" s="12"/>
      <c r="B96" s="12"/>
      <c r="C96" s="15"/>
      <c r="D96" s="16"/>
      <c r="E96" s="17"/>
      <c r="F96" s="17"/>
      <c r="G96" s="17"/>
      <c r="H96" s="18" t="str">
        <f aca="true">IF(OR(A96="",C96=""),"",C96-TODAY())</f>
        <v/>
      </c>
      <c r="I96" s="19" t="str">
        <f aca="true">IF(OR(A96="",C96=""),"",IF(G96="Terminada","Hecha",IF(C96&lt;TODAY(),"Vencida",IF(C96-TODAY()&lt;=Instrucciones!$C$16,"Urgente",IF(E96&lt;&gt;"Sí","Verificar fecha","")))))</f>
        <v/>
      </c>
      <c r="J96" s="0" t="str">
        <f aca="true">IF(OR($A96="",$C96="",$G96="Terminada"),"",IF($C96&lt;=TODAY()+6,$C96+ROW()/100000,""))</f>
        <v/>
      </c>
      <c r="K96" s="0" t="str">
        <f aca="false">IF(J96="","",COUNTIF($J$2:$J$201,"&lt;"&amp;J96)+1)</f>
        <v/>
      </c>
    </row>
    <row r="97" customFormat="false" ht="15" hidden="false" customHeight="false" outlineLevel="0" collapsed="false">
      <c r="A97" s="12"/>
      <c r="B97" s="12"/>
      <c r="C97" s="15"/>
      <c r="D97" s="16"/>
      <c r="E97" s="17"/>
      <c r="F97" s="17"/>
      <c r="G97" s="17"/>
      <c r="H97" s="18" t="str">
        <f aca="true">IF(OR(A97="",C97=""),"",C97-TODAY())</f>
        <v/>
      </c>
      <c r="I97" s="19" t="str">
        <f aca="true">IF(OR(A97="",C97=""),"",IF(G97="Terminada","Hecha",IF(C97&lt;TODAY(),"Vencida",IF(C97-TODAY()&lt;=Instrucciones!$C$16,"Urgente",IF(E97&lt;&gt;"Sí","Verificar fecha","")))))</f>
        <v/>
      </c>
      <c r="J97" s="0" t="str">
        <f aca="true">IF(OR($A97="",$C97="",$G97="Terminada"),"",IF($C97&lt;=TODAY()+6,$C97+ROW()/100000,""))</f>
        <v/>
      </c>
      <c r="K97" s="0" t="str">
        <f aca="false">IF(J97="","",COUNTIF($J$2:$J$201,"&lt;"&amp;J97)+1)</f>
        <v/>
      </c>
    </row>
    <row r="98" customFormat="false" ht="15" hidden="false" customHeight="false" outlineLevel="0" collapsed="false">
      <c r="A98" s="12"/>
      <c r="B98" s="12"/>
      <c r="C98" s="15"/>
      <c r="D98" s="16"/>
      <c r="E98" s="17"/>
      <c r="F98" s="17"/>
      <c r="G98" s="17"/>
      <c r="H98" s="18" t="str">
        <f aca="true">IF(OR(A98="",C98=""),"",C98-TODAY())</f>
        <v/>
      </c>
      <c r="I98" s="19" t="str">
        <f aca="true">IF(OR(A98="",C98=""),"",IF(G98="Terminada","Hecha",IF(C98&lt;TODAY(),"Vencida",IF(C98-TODAY()&lt;=Instrucciones!$C$16,"Urgente",IF(E98&lt;&gt;"Sí","Verificar fecha","")))))</f>
        <v/>
      </c>
      <c r="J98" s="0" t="str">
        <f aca="true">IF(OR($A98="",$C98="",$G98="Terminada"),"",IF($C98&lt;=TODAY()+6,$C98+ROW()/100000,""))</f>
        <v/>
      </c>
      <c r="K98" s="0" t="str">
        <f aca="false">IF(J98="","",COUNTIF($J$2:$J$201,"&lt;"&amp;J98)+1)</f>
        <v/>
      </c>
    </row>
    <row r="99" customFormat="false" ht="15" hidden="false" customHeight="false" outlineLevel="0" collapsed="false">
      <c r="A99" s="12"/>
      <c r="B99" s="12"/>
      <c r="C99" s="15"/>
      <c r="D99" s="16"/>
      <c r="E99" s="17"/>
      <c r="F99" s="17"/>
      <c r="G99" s="17"/>
      <c r="H99" s="18" t="str">
        <f aca="true">IF(OR(A99="",C99=""),"",C99-TODAY())</f>
        <v/>
      </c>
      <c r="I99" s="19" t="str">
        <f aca="true">IF(OR(A99="",C99=""),"",IF(G99="Terminada","Hecha",IF(C99&lt;TODAY(),"Vencida",IF(C99-TODAY()&lt;=Instrucciones!$C$16,"Urgente",IF(E99&lt;&gt;"Sí","Verificar fecha","")))))</f>
        <v/>
      </c>
      <c r="J99" s="0" t="str">
        <f aca="true">IF(OR($A99="",$C99="",$G99="Terminada"),"",IF($C99&lt;=TODAY()+6,$C99+ROW()/100000,""))</f>
        <v/>
      </c>
      <c r="K99" s="0" t="str">
        <f aca="false">IF(J99="","",COUNTIF($J$2:$J$201,"&lt;"&amp;J99)+1)</f>
        <v/>
      </c>
    </row>
    <row r="100" customFormat="false" ht="15" hidden="false" customHeight="false" outlineLevel="0" collapsed="false">
      <c r="A100" s="12"/>
      <c r="B100" s="12"/>
      <c r="C100" s="15"/>
      <c r="D100" s="16"/>
      <c r="E100" s="17"/>
      <c r="F100" s="17"/>
      <c r="G100" s="17"/>
      <c r="H100" s="18" t="str">
        <f aca="true">IF(OR(A100="",C100=""),"",C100-TODAY())</f>
        <v/>
      </c>
      <c r="I100" s="19" t="str">
        <f aca="true">IF(OR(A100="",C100=""),"",IF(G100="Terminada","Hecha",IF(C100&lt;TODAY(),"Vencida",IF(C100-TODAY()&lt;=Instrucciones!$C$16,"Urgente",IF(E100&lt;&gt;"Sí","Verificar fecha","")))))</f>
        <v/>
      </c>
      <c r="J100" s="0" t="str">
        <f aca="true">IF(OR($A100="",$C100="",$G100="Terminada"),"",IF($C100&lt;=TODAY()+6,$C100+ROW()/100000,""))</f>
        <v/>
      </c>
      <c r="K100" s="0" t="str">
        <f aca="false">IF(J100="","",COUNTIF($J$2:$J$201,"&lt;"&amp;J100)+1)</f>
        <v/>
      </c>
    </row>
    <row r="101" customFormat="false" ht="15" hidden="false" customHeight="false" outlineLevel="0" collapsed="false">
      <c r="A101" s="12"/>
      <c r="B101" s="12"/>
      <c r="C101" s="15"/>
      <c r="D101" s="16"/>
      <c r="E101" s="17"/>
      <c r="F101" s="17"/>
      <c r="G101" s="17"/>
      <c r="H101" s="18" t="str">
        <f aca="true">IF(OR(A101="",C101=""),"",C101-TODAY())</f>
        <v/>
      </c>
      <c r="I101" s="19" t="str">
        <f aca="true">IF(OR(A101="",C101=""),"",IF(G101="Terminada","Hecha",IF(C101&lt;TODAY(),"Vencida",IF(C101-TODAY()&lt;=Instrucciones!$C$16,"Urgente",IF(E101&lt;&gt;"Sí","Verificar fecha","")))))</f>
        <v/>
      </c>
      <c r="J101" s="0" t="str">
        <f aca="true">IF(OR($A101="",$C101="",$G101="Terminada"),"",IF($C101&lt;=TODAY()+6,$C101+ROW()/100000,""))</f>
        <v/>
      </c>
      <c r="K101" s="0" t="str">
        <f aca="false">IF(J101="","",COUNTIF($J$2:$J$201,"&lt;"&amp;J101)+1)</f>
        <v/>
      </c>
    </row>
    <row r="102" customFormat="false" ht="15" hidden="false" customHeight="false" outlineLevel="0" collapsed="false">
      <c r="A102" s="12"/>
      <c r="B102" s="12"/>
      <c r="C102" s="15"/>
      <c r="D102" s="16"/>
      <c r="E102" s="17"/>
      <c r="F102" s="17"/>
      <c r="G102" s="17"/>
      <c r="H102" s="18" t="str">
        <f aca="true">IF(OR(A102="",C102=""),"",C102-TODAY())</f>
        <v/>
      </c>
      <c r="I102" s="19" t="str">
        <f aca="true">IF(OR(A102="",C102=""),"",IF(G102="Terminada","Hecha",IF(C102&lt;TODAY(),"Vencida",IF(C102-TODAY()&lt;=Instrucciones!$C$16,"Urgente",IF(E102&lt;&gt;"Sí","Verificar fecha","")))))</f>
        <v/>
      </c>
      <c r="J102" s="0" t="str">
        <f aca="true">IF(OR($A102="",$C102="",$G102="Terminada"),"",IF($C102&lt;=TODAY()+6,$C102+ROW()/100000,""))</f>
        <v/>
      </c>
      <c r="K102" s="0" t="str">
        <f aca="false">IF(J102="","",COUNTIF($J$2:$J$201,"&lt;"&amp;J102)+1)</f>
        <v/>
      </c>
    </row>
    <row r="103" customFormat="false" ht="15" hidden="false" customHeight="false" outlineLevel="0" collapsed="false">
      <c r="A103" s="12"/>
      <c r="B103" s="12"/>
      <c r="C103" s="15"/>
      <c r="D103" s="16"/>
      <c r="E103" s="17"/>
      <c r="F103" s="17"/>
      <c r="G103" s="17"/>
      <c r="H103" s="18" t="str">
        <f aca="true">IF(OR(A103="",C103=""),"",C103-TODAY())</f>
        <v/>
      </c>
      <c r="I103" s="19" t="str">
        <f aca="true">IF(OR(A103="",C103=""),"",IF(G103="Terminada","Hecha",IF(C103&lt;TODAY(),"Vencida",IF(C103-TODAY()&lt;=Instrucciones!$C$16,"Urgente",IF(E103&lt;&gt;"Sí","Verificar fecha","")))))</f>
        <v/>
      </c>
      <c r="J103" s="0" t="str">
        <f aca="true">IF(OR($A103="",$C103="",$G103="Terminada"),"",IF($C103&lt;=TODAY()+6,$C103+ROW()/100000,""))</f>
        <v/>
      </c>
      <c r="K103" s="0" t="str">
        <f aca="false">IF(J103="","",COUNTIF($J$2:$J$201,"&lt;"&amp;J103)+1)</f>
        <v/>
      </c>
    </row>
    <row r="104" customFormat="false" ht="15" hidden="false" customHeight="false" outlineLevel="0" collapsed="false">
      <c r="A104" s="12"/>
      <c r="B104" s="12"/>
      <c r="C104" s="15"/>
      <c r="D104" s="16"/>
      <c r="E104" s="17"/>
      <c r="F104" s="17"/>
      <c r="G104" s="17"/>
      <c r="H104" s="18" t="str">
        <f aca="true">IF(OR(A104="",C104=""),"",C104-TODAY())</f>
        <v/>
      </c>
      <c r="I104" s="19" t="str">
        <f aca="true">IF(OR(A104="",C104=""),"",IF(G104="Terminada","Hecha",IF(C104&lt;TODAY(),"Vencida",IF(C104-TODAY()&lt;=Instrucciones!$C$16,"Urgente",IF(E104&lt;&gt;"Sí","Verificar fecha","")))))</f>
        <v/>
      </c>
      <c r="J104" s="0" t="str">
        <f aca="true">IF(OR($A104="",$C104="",$G104="Terminada"),"",IF($C104&lt;=TODAY()+6,$C104+ROW()/100000,""))</f>
        <v/>
      </c>
      <c r="K104" s="0" t="str">
        <f aca="false">IF(J104="","",COUNTIF($J$2:$J$201,"&lt;"&amp;J104)+1)</f>
        <v/>
      </c>
    </row>
    <row r="105" customFormat="false" ht="15" hidden="false" customHeight="false" outlineLevel="0" collapsed="false">
      <c r="A105" s="12"/>
      <c r="B105" s="12"/>
      <c r="C105" s="15"/>
      <c r="D105" s="16"/>
      <c r="E105" s="17"/>
      <c r="F105" s="17"/>
      <c r="G105" s="17"/>
      <c r="H105" s="18" t="str">
        <f aca="true">IF(OR(A105="",C105=""),"",C105-TODAY())</f>
        <v/>
      </c>
      <c r="I105" s="19" t="str">
        <f aca="true">IF(OR(A105="",C105=""),"",IF(G105="Terminada","Hecha",IF(C105&lt;TODAY(),"Vencida",IF(C105-TODAY()&lt;=Instrucciones!$C$16,"Urgente",IF(E105&lt;&gt;"Sí","Verificar fecha","")))))</f>
        <v/>
      </c>
      <c r="J105" s="0" t="str">
        <f aca="true">IF(OR($A105="",$C105="",$G105="Terminada"),"",IF($C105&lt;=TODAY()+6,$C105+ROW()/100000,""))</f>
        <v/>
      </c>
      <c r="K105" s="0" t="str">
        <f aca="false">IF(J105="","",COUNTIF($J$2:$J$201,"&lt;"&amp;J105)+1)</f>
        <v/>
      </c>
    </row>
    <row r="106" customFormat="false" ht="15" hidden="false" customHeight="false" outlineLevel="0" collapsed="false">
      <c r="A106" s="12"/>
      <c r="B106" s="12"/>
      <c r="C106" s="15"/>
      <c r="D106" s="16"/>
      <c r="E106" s="17"/>
      <c r="F106" s="17"/>
      <c r="G106" s="17"/>
      <c r="H106" s="18" t="str">
        <f aca="true">IF(OR(A106="",C106=""),"",C106-TODAY())</f>
        <v/>
      </c>
      <c r="I106" s="19" t="str">
        <f aca="true">IF(OR(A106="",C106=""),"",IF(G106="Terminada","Hecha",IF(C106&lt;TODAY(),"Vencida",IF(C106-TODAY()&lt;=Instrucciones!$C$16,"Urgente",IF(E106&lt;&gt;"Sí","Verificar fecha","")))))</f>
        <v/>
      </c>
      <c r="J106" s="0" t="str">
        <f aca="true">IF(OR($A106="",$C106="",$G106="Terminada"),"",IF($C106&lt;=TODAY()+6,$C106+ROW()/100000,""))</f>
        <v/>
      </c>
      <c r="K106" s="0" t="str">
        <f aca="false">IF(J106="","",COUNTIF($J$2:$J$201,"&lt;"&amp;J106)+1)</f>
        <v/>
      </c>
    </row>
    <row r="107" customFormat="false" ht="15" hidden="false" customHeight="false" outlineLevel="0" collapsed="false">
      <c r="A107" s="12"/>
      <c r="B107" s="12"/>
      <c r="C107" s="15"/>
      <c r="D107" s="16"/>
      <c r="E107" s="17"/>
      <c r="F107" s="17"/>
      <c r="G107" s="17"/>
      <c r="H107" s="18" t="str">
        <f aca="true">IF(OR(A107="",C107=""),"",C107-TODAY())</f>
        <v/>
      </c>
      <c r="I107" s="19" t="str">
        <f aca="true">IF(OR(A107="",C107=""),"",IF(G107="Terminada","Hecha",IF(C107&lt;TODAY(),"Vencida",IF(C107-TODAY()&lt;=Instrucciones!$C$16,"Urgente",IF(E107&lt;&gt;"Sí","Verificar fecha","")))))</f>
        <v/>
      </c>
      <c r="J107" s="0" t="str">
        <f aca="true">IF(OR($A107="",$C107="",$G107="Terminada"),"",IF($C107&lt;=TODAY()+6,$C107+ROW()/100000,""))</f>
        <v/>
      </c>
      <c r="K107" s="0" t="str">
        <f aca="false">IF(J107="","",COUNTIF($J$2:$J$201,"&lt;"&amp;J107)+1)</f>
        <v/>
      </c>
    </row>
    <row r="108" customFormat="false" ht="15" hidden="false" customHeight="false" outlineLevel="0" collapsed="false">
      <c r="A108" s="12"/>
      <c r="B108" s="12"/>
      <c r="C108" s="15"/>
      <c r="D108" s="16"/>
      <c r="E108" s="17"/>
      <c r="F108" s="17"/>
      <c r="G108" s="17"/>
      <c r="H108" s="18" t="str">
        <f aca="true">IF(OR(A108="",C108=""),"",C108-TODAY())</f>
        <v/>
      </c>
      <c r="I108" s="19" t="str">
        <f aca="true">IF(OR(A108="",C108=""),"",IF(G108="Terminada","Hecha",IF(C108&lt;TODAY(),"Vencida",IF(C108-TODAY()&lt;=Instrucciones!$C$16,"Urgente",IF(E108&lt;&gt;"Sí","Verificar fecha","")))))</f>
        <v/>
      </c>
      <c r="J108" s="0" t="str">
        <f aca="true">IF(OR($A108="",$C108="",$G108="Terminada"),"",IF($C108&lt;=TODAY()+6,$C108+ROW()/100000,""))</f>
        <v/>
      </c>
      <c r="K108" s="0" t="str">
        <f aca="false">IF(J108="","",COUNTIF($J$2:$J$201,"&lt;"&amp;J108)+1)</f>
        <v/>
      </c>
    </row>
    <row r="109" customFormat="false" ht="15" hidden="false" customHeight="false" outlineLevel="0" collapsed="false">
      <c r="A109" s="12"/>
      <c r="B109" s="12"/>
      <c r="C109" s="15"/>
      <c r="D109" s="16"/>
      <c r="E109" s="17"/>
      <c r="F109" s="17"/>
      <c r="G109" s="17"/>
      <c r="H109" s="18" t="str">
        <f aca="true">IF(OR(A109="",C109=""),"",C109-TODAY())</f>
        <v/>
      </c>
      <c r="I109" s="19" t="str">
        <f aca="true">IF(OR(A109="",C109=""),"",IF(G109="Terminada","Hecha",IF(C109&lt;TODAY(),"Vencida",IF(C109-TODAY()&lt;=Instrucciones!$C$16,"Urgente",IF(E109&lt;&gt;"Sí","Verificar fecha","")))))</f>
        <v/>
      </c>
      <c r="J109" s="0" t="str">
        <f aca="true">IF(OR($A109="",$C109="",$G109="Terminada"),"",IF($C109&lt;=TODAY()+6,$C109+ROW()/100000,""))</f>
        <v/>
      </c>
      <c r="K109" s="0" t="str">
        <f aca="false">IF(J109="","",COUNTIF($J$2:$J$201,"&lt;"&amp;J109)+1)</f>
        <v/>
      </c>
    </row>
    <row r="110" customFormat="false" ht="15" hidden="false" customHeight="false" outlineLevel="0" collapsed="false">
      <c r="A110" s="12"/>
      <c r="B110" s="12"/>
      <c r="C110" s="15"/>
      <c r="D110" s="16"/>
      <c r="E110" s="17"/>
      <c r="F110" s="17"/>
      <c r="G110" s="17"/>
      <c r="H110" s="18" t="str">
        <f aca="true">IF(OR(A110="",C110=""),"",C110-TODAY())</f>
        <v/>
      </c>
      <c r="I110" s="19" t="str">
        <f aca="true">IF(OR(A110="",C110=""),"",IF(G110="Terminada","Hecha",IF(C110&lt;TODAY(),"Vencida",IF(C110-TODAY()&lt;=Instrucciones!$C$16,"Urgente",IF(E110&lt;&gt;"Sí","Verificar fecha","")))))</f>
        <v/>
      </c>
      <c r="J110" s="0" t="str">
        <f aca="true">IF(OR($A110="",$C110="",$G110="Terminada"),"",IF($C110&lt;=TODAY()+6,$C110+ROW()/100000,""))</f>
        <v/>
      </c>
      <c r="K110" s="0" t="str">
        <f aca="false">IF(J110="","",COUNTIF($J$2:$J$201,"&lt;"&amp;J110)+1)</f>
        <v/>
      </c>
    </row>
    <row r="111" customFormat="false" ht="15" hidden="false" customHeight="false" outlineLevel="0" collapsed="false">
      <c r="A111" s="12"/>
      <c r="B111" s="12"/>
      <c r="C111" s="15"/>
      <c r="D111" s="16"/>
      <c r="E111" s="17"/>
      <c r="F111" s="17"/>
      <c r="G111" s="17"/>
      <c r="H111" s="18" t="str">
        <f aca="true">IF(OR(A111="",C111=""),"",C111-TODAY())</f>
        <v/>
      </c>
      <c r="I111" s="19" t="str">
        <f aca="true">IF(OR(A111="",C111=""),"",IF(G111="Terminada","Hecha",IF(C111&lt;TODAY(),"Vencida",IF(C111-TODAY()&lt;=Instrucciones!$C$16,"Urgente",IF(E111&lt;&gt;"Sí","Verificar fecha","")))))</f>
        <v/>
      </c>
      <c r="J111" s="0" t="str">
        <f aca="true">IF(OR($A111="",$C111="",$G111="Terminada"),"",IF($C111&lt;=TODAY()+6,$C111+ROW()/100000,""))</f>
        <v/>
      </c>
      <c r="K111" s="0" t="str">
        <f aca="false">IF(J111="","",COUNTIF($J$2:$J$201,"&lt;"&amp;J111)+1)</f>
        <v/>
      </c>
    </row>
    <row r="112" customFormat="false" ht="15" hidden="false" customHeight="false" outlineLevel="0" collapsed="false">
      <c r="A112" s="12"/>
      <c r="B112" s="12"/>
      <c r="C112" s="15"/>
      <c r="D112" s="16"/>
      <c r="E112" s="17"/>
      <c r="F112" s="17"/>
      <c r="G112" s="17"/>
      <c r="H112" s="18" t="str">
        <f aca="true">IF(OR(A112="",C112=""),"",C112-TODAY())</f>
        <v/>
      </c>
      <c r="I112" s="19" t="str">
        <f aca="true">IF(OR(A112="",C112=""),"",IF(G112="Terminada","Hecha",IF(C112&lt;TODAY(),"Vencida",IF(C112-TODAY()&lt;=Instrucciones!$C$16,"Urgente",IF(E112&lt;&gt;"Sí","Verificar fecha","")))))</f>
        <v/>
      </c>
      <c r="J112" s="0" t="str">
        <f aca="true">IF(OR($A112="",$C112="",$G112="Terminada"),"",IF($C112&lt;=TODAY()+6,$C112+ROW()/100000,""))</f>
        <v/>
      </c>
      <c r="K112" s="0" t="str">
        <f aca="false">IF(J112="","",COUNTIF($J$2:$J$201,"&lt;"&amp;J112)+1)</f>
        <v/>
      </c>
    </row>
    <row r="113" customFormat="false" ht="15" hidden="false" customHeight="false" outlineLevel="0" collapsed="false">
      <c r="A113" s="12"/>
      <c r="B113" s="12"/>
      <c r="C113" s="15"/>
      <c r="D113" s="16"/>
      <c r="E113" s="17"/>
      <c r="F113" s="17"/>
      <c r="G113" s="17"/>
      <c r="H113" s="18" t="str">
        <f aca="true">IF(OR(A113="",C113=""),"",C113-TODAY())</f>
        <v/>
      </c>
      <c r="I113" s="19" t="str">
        <f aca="true">IF(OR(A113="",C113=""),"",IF(G113="Terminada","Hecha",IF(C113&lt;TODAY(),"Vencida",IF(C113-TODAY()&lt;=Instrucciones!$C$16,"Urgente",IF(E113&lt;&gt;"Sí","Verificar fecha","")))))</f>
        <v/>
      </c>
      <c r="J113" s="0" t="str">
        <f aca="true">IF(OR($A113="",$C113="",$G113="Terminada"),"",IF($C113&lt;=TODAY()+6,$C113+ROW()/100000,""))</f>
        <v/>
      </c>
      <c r="K113" s="0" t="str">
        <f aca="false">IF(J113="","",COUNTIF($J$2:$J$201,"&lt;"&amp;J113)+1)</f>
        <v/>
      </c>
    </row>
    <row r="114" customFormat="false" ht="15" hidden="false" customHeight="false" outlineLevel="0" collapsed="false">
      <c r="A114" s="12"/>
      <c r="B114" s="12"/>
      <c r="C114" s="15"/>
      <c r="D114" s="16"/>
      <c r="E114" s="17"/>
      <c r="F114" s="17"/>
      <c r="G114" s="17"/>
      <c r="H114" s="18" t="str">
        <f aca="true">IF(OR(A114="",C114=""),"",C114-TODAY())</f>
        <v/>
      </c>
      <c r="I114" s="19" t="str">
        <f aca="true">IF(OR(A114="",C114=""),"",IF(G114="Terminada","Hecha",IF(C114&lt;TODAY(),"Vencida",IF(C114-TODAY()&lt;=Instrucciones!$C$16,"Urgente",IF(E114&lt;&gt;"Sí","Verificar fecha","")))))</f>
        <v/>
      </c>
      <c r="J114" s="0" t="str">
        <f aca="true">IF(OR($A114="",$C114="",$G114="Terminada"),"",IF($C114&lt;=TODAY()+6,$C114+ROW()/100000,""))</f>
        <v/>
      </c>
      <c r="K114" s="0" t="str">
        <f aca="false">IF(J114="","",COUNTIF($J$2:$J$201,"&lt;"&amp;J114)+1)</f>
        <v/>
      </c>
    </row>
    <row r="115" customFormat="false" ht="15" hidden="false" customHeight="false" outlineLevel="0" collapsed="false">
      <c r="A115" s="12"/>
      <c r="B115" s="12"/>
      <c r="C115" s="15"/>
      <c r="D115" s="16"/>
      <c r="E115" s="17"/>
      <c r="F115" s="17"/>
      <c r="G115" s="17"/>
      <c r="H115" s="18" t="str">
        <f aca="true">IF(OR(A115="",C115=""),"",C115-TODAY())</f>
        <v/>
      </c>
      <c r="I115" s="19" t="str">
        <f aca="true">IF(OR(A115="",C115=""),"",IF(G115="Terminada","Hecha",IF(C115&lt;TODAY(),"Vencida",IF(C115-TODAY()&lt;=Instrucciones!$C$16,"Urgente",IF(E115&lt;&gt;"Sí","Verificar fecha","")))))</f>
        <v/>
      </c>
      <c r="J115" s="0" t="str">
        <f aca="true">IF(OR($A115="",$C115="",$G115="Terminada"),"",IF($C115&lt;=TODAY()+6,$C115+ROW()/100000,""))</f>
        <v/>
      </c>
      <c r="K115" s="0" t="str">
        <f aca="false">IF(J115="","",COUNTIF($J$2:$J$201,"&lt;"&amp;J115)+1)</f>
        <v/>
      </c>
    </row>
    <row r="116" customFormat="false" ht="15" hidden="false" customHeight="false" outlineLevel="0" collapsed="false">
      <c r="A116" s="12"/>
      <c r="B116" s="12"/>
      <c r="C116" s="15"/>
      <c r="D116" s="16"/>
      <c r="E116" s="17"/>
      <c r="F116" s="17"/>
      <c r="G116" s="17"/>
      <c r="H116" s="18" t="str">
        <f aca="true">IF(OR(A116="",C116=""),"",C116-TODAY())</f>
        <v/>
      </c>
      <c r="I116" s="19" t="str">
        <f aca="true">IF(OR(A116="",C116=""),"",IF(G116="Terminada","Hecha",IF(C116&lt;TODAY(),"Vencida",IF(C116-TODAY()&lt;=Instrucciones!$C$16,"Urgente",IF(E116&lt;&gt;"Sí","Verificar fecha","")))))</f>
        <v/>
      </c>
      <c r="J116" s="0" t="str">
        <f aca="true">IF(OR($A116="",$C116="",$G116="Terminada"),"",IF($C116&lt;=TODAY()+6,$C116+ROW()/100000,""))</f>
        <v/>
      </c>
      <c r="K116" s="0" t="str">
        <f aca="false">IF(J116="","",COUNTIF($J$2:$J$201,"&lt;"&amp;J116)+1)</f>
        <v/>
      </c>
    </row>
    <row r="117" customFormat="false" ht="15" hidden="false" customHeight="false" outlineLevel="0" collapsed="false">
      <c r="A117" s="12"/>
      <c r="B117" s="12"/>
      <c r="C117" s="15"/>
      <c r="D117" s="16"/>
      <c r="E117" s="17"/>
      <c r="F117" s="17"/>
      <c r="G117" s="17"/>
      <c r="H117" s="18" t="str">
        <f aca="true">IF(OR(A117="",C117=""),"",C117-TODAY())</f>
        <v/>
      </c>
      <c r="I117" s="19" t="str">
        <f aca="true">IF(OR(A117="",C117=""),"",IF(G117="Terminada","Hecha",IF(C117&lt;TODAY(),"Vencida",IF(C117-TODAY()&lt;=Instrucciones!$C$16,"Urgente",IF(E117&lt;&gt;"Sí","Verificar fecha","")))))</f>
        <v/>
      </c>
      <c r="J117" s="0" t="str">
        <f aca="true">IF(OR($A117="",$C117="",$G117="Terminada"),"",IF($C117&lt;=TODAY()+6,$C117+ROW()/100000,""))</f>
        <v/>
      </c>
      <c r="K117" s="0" t="str">
        <f aca="false">IF(J117="","",COUNTIF($J$2:$J$201,"&lt;"&amp;J117)+1)</f>
        <v/>
      </c>
    </row>
    <row r="118" customFormat="false" ht="15" hidden="false" customHeight="false" outlineLevel="0" collapsed="false">
      <c r="A118" s="12"/>
      <c r="B118" s="12"/>
      <c r="C118" s="15"/>
      <c r="D118" s="16"/>
      <c r="E118" s="17"/>
      <c r="F118" s="17"/>
      <c r="G118" s="17"/>
      <c r="H118" s="18" t="str">
        <f aca="true">IF(OR(A118="",C118=""),"",C118-TODAY())</f>
        <v/>
      </c>
      <c r="I118" s="19" t="str">
        <f aca="true">IF(OR(A118="",C118=""),"",IF(G118="Terminada","Hecha",IF(C118&lt;TODAY(),"Vencida",IF(C118-TODAY()&lt;=Instrucciones!$C$16,"Urgente",IF(E118&lt;&gt;"Sí","Verificar fecha","")))))</f>
        <v/>
      </c>
      <c r="J118" s="0" t="str">
        <f aca="true">IF(OR($A118="",$C118="",$G118="Terminada"),"",IF($C118&lt;=TODAY()+6,$C118+ROW()/100000,""))</f>
        <v/>
      </c>
      <c r="K118" s="0" t="str">
        <f aca="false">IF(J118="","",COUNTIF($J$2:$J$201,"&lt;"&amp;J118)+1)</f>
        <v/>
      </c>
    </row>
    <row r="119" customFormat="false" ht="15" hidden="false" customHeight="false" outlineLevel="0" collapsed="false">
      <c r="A119" s="12"/>
      <c r="B119" s="12"/>
      <c r="C119" s="15"/>
      <c r="D119" s="16"/>
      <c r="E119" s="17"/>
      <c r="F119" s="17"/>
      <c r="G119" s="17"/>
      <c r="H119" s="18" t="str">
        <f aca="true">IF(OR(A119="",C119=""),"",C119-TODAY())</f>
        <v/>
      </c>
      <c r="I119" s="19" t="str">
        <f aca="true">IF(OR(A119="",C119=""),"",IF(G119="Terminada","Hecha",IF(C119&lt;TODAY(),"Vencida",IF(C119-TODAY()&lt;=Instrucciones!$C$16,"Urgente",IF(E119&lt;&gt;"Sí","Verificar fecha","")))))</f>
        <v/>
      </c>
      <c r="J119" s="0" t="str">
        <f aca="true">IF(OR($A119="",$C119="",$G119="Terminada"),"",IF($C119&lt;=TODAY()+6,$C119+ROW()/100000,""))</f>
        <v/>
      </c>
      <c r="K119" s="0" t="str">
        <f aca="false">IF(J119="","",COUNTIF($J$2:$J$201,"&lt;"&amp;J119)+1)</f>
        <v/>
      </c>
    </row>
    <row r="120" customFormat="false" ht="15" hidden="false" customHeight="false" outlineLevel="0" collapsed="false">
      <c r="A120" s="12"/>
      <c r="B120" s="12"/>
      <c r="C120" s="15"/>
      <c r="D120" s="16"/>
      <c r="E120" s="17"/>
      <c r="F120" s="17"/>
      <c r="G120" s="17"/>
      <c r="H120" s="18" t="str">
        <f aca="true">IF(OR(A120="",C120=""),"",C120-TODAY())</f>
        <v/>
      </c>
      <c r="I120" s="19" t="str">
        <f aca="true">IF(OR(A120="",C120=""),"",IF(G120="Terminada","Hecha",IF(C120&lt;TODAY(),"Vencida",IF(C120-TODAY()&lt;=Instrucciones!$C$16,"Urgente",IF(E120&lt;&gt;"Sí","Verificar fecha","")))))</f>
        <v/>
      </c>
      <c r="J120" s="0" t="str">
        <f aca="true">IF(OR($A120="",$C120="",$G120="Terminada"),"",IF($C120&lt;=TODAY()+6,$C120+ROW()/100000,""))</f>
        <v/>
      </c>
      <c r="K120" s="0" t="str">
        <f aca="false">IF(J120="","",COUNTIF($J$2:$J$201,"&lt;"&amp;J120)+1)</f>
        <v/>
      </c>
    </row>
    <row r="121" customFormat="false" ht="15" hidden="false" customHeight="false" outlineLevel="0" collapsed="false">
      <c r="A121" s="12"/>
      <c r="B121" s="12"/>
      <c r="C121" s="15"/>
      <c r="D121" s="16"/>
      <c r="E121" s="17"/>
      <c r="F121" s="17"/>
      <c r="G121" s="17"/>
      <c r="H121" s="18" t="str">
        <f aca="true">IF(OR(A121="",C121=""),"",C121-TODAY())</f>
        <v/>
      </c>
      <c r="I121" s="19" t="str">
        <f aca="true">IF(OR(A121="",C121=""),"",IF(G121="Terminada","Hecha",IF(C121&lt;TODAY(),"Vencida",IF(C121-TODAY()&lt;=Instrucciones!$C$16,"Urgente",IF(E121&lt;&gt;"Sí","Verificar fecha","")))))</f>
        <v/>
      </c>
      <c r="J121" s="0" t="str">
        <f aca="true">IF(OR($A121="",$C121="",$G121="Terminada"),"",IF($C121&lt;=TODAY()+6,$C121+ROW()/100000,""))</f>
        <v/>
      </c>
      <c r="K121" s="0" t="str">
        <f aca="false">IF(J121="","",COUNTIF($J$2:$J$201,"&lt;"&amp;J121)+1)</f>
        <v/>
      </c>
    </row>
    <row r="122" customFormat="false" ht="15" hidden="false" customHeight="false" outlineLevel="0" collapsed="false">
      <c r="A122" s="12"/>
      <c r="B122" s="12"/>
      <c r="C122" s="15"/>
      <c r="D122" s="16"/>
      <c r="E122" s="17"/>
      <c r="F122" s="17"/>
      <c r="G122" s="17"/>
      <c r="H122" s="18" t="str">
        <f aca="true">IF(OR(A122="",C122=""),"",C122-TODAY())</f>
        <v/>
      </c>
      <c r="I122" s="19" t="str">
        <f aca="true">IF(OR(A122="",C122=""),"",IF(G122="Terminada","Hecha",IF(C122&lt;TODAY(),"Vencida",IF(C122-TODAY()&lt;=Instrucciones!$C$16,"Urgente",IF(E122&lt;&gt;"Sí","Verificar fecha","")))))</f>
        <v/>
      </c>
      <c r="J122" s="0" t="str">
        <f aca="true">IF(OR($A122="",$C122="",$G122="Terminada"),"",IF($C122&lt;=TODAY()+6,$C122+ROW()/100000,""))</f>
        <v/>
      </c>
      <c r="K122" s="0" t="str">
        <f aca="false">IF(J122="","",COUNTIF($J$2:$J$201,"&lt;"&amp;J122)+1)</f>
        <v/>
      </c>
    </row>
    <row r="123" customFormat="false" ht="15" hidden="false" customHeight="false" outlineLevel="0" collapsed="false">
      <c r="A123" s="12"/>
      <c r="B123" s="12"/>
      <c r="C123" s="15"/>
      <c r="D123" s="16"/>
      <c r="E123" s="17"/>
      <c r="F123" s="17"/>
      <c r="G123" s="17"/>
      <c r="H123" s="18" t="str">
        <f aca="true">IF(OR(A123="",C123=""),"",C123-TODAY())</f>
        <v/>
      </c>
      <c r="I123" s="19" t="str">
        <f aca="true">IF(OR(A123="",C123=""),"",IF(G123="Terminada","Hecha",IF(C123&lt;TODAY(),"Vencida",IF(C123-TODAY()&lt;=Instrucciones!$C$16,"Urgente",IF(E123&lt;&gt;"Sí","Verificar fecha","")))))</f>
        <v/>
      </c>
      <c r="J123" s="0" t="str">
        <f aca="true">IF(OR($A123="",$C123="",$G123="Terminada"),"",IF($C123&lt;=TODAY()+6,$C123+ROW()/100000,""))</f>
        <v/>
      </c>
      <c r="K123" s="0" t="str">
        <f aca="false">IF(J123="","",COUNTIF($J$2:$J$201,"&lt;"&amp;J123)+1)</f>
        <v/>
      </c>
    </row>
    <row r="124" customFormat="false" ht="15" hidden="false" customHeight="false" outlineLevel="0" collapsed="false">
      <c r="A124" s="12"/>
      <c r="B124" s="12"/>
      <c r="C124" s="15"/>
      <c r="D124" s="16"/>
      <c r="E124" s="17"/>
      <c r="F124" s="17"/>
      <c r="G124" s="17"/>
      <c r="H124" s="18" t="str">
        <f aca="true">IF(OR(A124="",C124=""),"",C124-TODAY())</f>
        <v/>
      </c>
      <c r="I124" s="19" t="str">
        <f aca="true">IF(OR(A124="",C124=""),"",IF(G124="Terminada","Hecha",IF(C124&lt;TODAY(),"Vencida",IF(C124-TODAY()&lt;=Instrucciones!$C$16,"Urgente",IF(E124&lt;&gt;"Sí","Verificar fecha","")))))</f>
        <v/>
      </c>
      <c r="J124" s="0" t="str">
        <f aca="true">IF(OR($A124="",$C124="",$G124="Terminada"),"",IF($C124&lt;=TODAY()+6,$C124+ROW()/100000,""))</f>
        <v/>
      </c>
      <c r="K124" s="0" t="str">
        <f aca="false">IF(J124="","",COUNTIF($J$2:$J$201,"&lt;"&amp;J124)+1)</f>
        <v/>
      </c>
    </row>
    <row r="125" customFormat="false" ht="15" hidden="false" customHeight="false" outlineLevel="0" collapsed="false">
      <c r="A125" s="12"/>
      <c r="B125" s="12"/>
      <c r="C125" s="15"/>
      <c r="D125" s="16"/>
      <c r="E125" s="17"/>
      <c r="F125" s="17"/>
      <c r="G125" s="17"/>
      <c r="H125" s="18" t="str">
        <f aca="true">IF(OR(A125="",C125=""),"",C125-TODAY())</f>
        <v/>
      </c>
      <c r="I125" s="19" t="str">
        <f aca="true">IF(OR(A125="",C125=""),"",IF(G125="Terminada","Hecha",IF(C125&lt;TODAY(),"Vencida",IF(C125-TODAY()&lt;=Instrucciones!$C$16,"Urgente",IF(E125&lt;&gt;"Sí","Verificar fecha","")))))</f>
        <v/>
      </c>
      <c r="J125" s="0" t="str">
        <f aca="true">IF(OR($A125="",$C125="",$G125="Terminada"),"",IF($C125&lt;=TODAY()+6,$C125+ROW()/100000,""))</f>
        <v/>
      </c>
      <c r="K125" s="0" t="str">
        <f aca="false">IF(J125="","",COUNTIF($J$2:$J$201,"&lt;"&amp;J125)+1)</f>
        <v/>
      </c>
    </row>
    <row r="126" customFormat="false" ht="15" hidden="false" customHeight="false" outlineLevel="0" collapsed="false">
      <c r="A126" s="12"/>
      <c r="B126" s="12"/>
      <c r="C126" s="15"/>
      <c r="D126" s="16"/>
      <c r="E126" s="17"/>
      <c r="F126" s="17"/>
      <c r="G126" s="17"/>
      <c r="H126" s="18" t="str">
        <f aca="true">IF(OR(A126="",C126=""),"",C126-TODAY())</f>
        <v/>
      </c>
      <c r="I126" s="19" t="str">
        <f aca="true">IF(OR(A126="",C126=""),"",IF(G126="Terminada","Hecha",IF(C126&lt;TODAY(),"Vencida",IF(C126-TODAY()&lt;=Instrucciones!$C$16,"Urgente",IF(E126&lt;&gt;"Sí","Verificar fecha","")))))</f>
        <v/>
      </c>
      <c r="J126" s="0" t="str">
        <f aca="true">IF(OR($A126="",$C126="",$G126="Terminada"),"",IF($C126&lt;=TODAY()+6,$C126+ROW()/100000,""))</f>
        <v/>
      </c>
      <c r="K126" s="0" t="str">
        <f aca="false">IF(J126="","",COUNTIF($J$2:$J$201,"&lt;"&amp;J126)+1)</f>
        <v/>
      </c>
    </row>
    <row r="127" customFormat="false" ht="15" hidden="false" customHeight="false" outlineLevel="0" collapsed="false">
      <c r="A127" s="12"/>
      <c r="B127" s="12"/>
      <c r="C127" s="15"/>
      <c r="D127" s="16"/>
      <c r="E127" s="17"/>
      <c r="F127" s="17"/>
      <c r="G127" s="17"/>
      <c r="H127" s="18" t="str">
        <f aca="true">IF(OR(A127="",C127=""),"",C127-TODAY())</f>
        <v/>
      </c>
      <c r="I127" s="19" t="str">
        <f aca="true">IF(OR(A127="",C127=""),"",IF(G127="Terminada","Hecha",IF(C127&lt;TODAY(),"Vencida",IF(C127-TODAY()&lt;=Instrucciones!$C$16,"Urgente",IF(E127&lt;&gt;"Sí","Verificar fecha","")))))</f>
        <v/>
      </c>
      <c r="J127" s="0" t="str">
        <f aca="true">IF(OR($A127="",$C127="",$G127="Terminada"),"",IF($C127&lt;=TODAY()+6,$C127+ROW()/100000,""))</f>
        <v/>
      </c>
      <c r="K127" s="0" t="str">
        <f aca="false">IF(J127="","",COUNTIF($J$2:$J$201,"&lt;"&amp;J127)+1)</f>
        <v/>
      </c>
    </row>
    <row r="128" customFormat="false" ht="15" hidden="false" customHeight="false" outlineLevel="0" collapsed="false">
      <c r="A128" s="12"/>
      <c r="B128" s="12"/>
      <c r="C128" s="15"/>
      <c r="D128" s="16"/>
      <c r="E128" s="17"/>
      <c r="F128" s="17"/>
      <c r="G128" s="17"/>
      <c r="H128" s="18" t="str">
        <f aca="true">IF(OR(A128="",C128=""),"",C128-TODAY())</f>
        <v/>
      </c>
      <c r="I128" s="19" t="str">
        <f aca="true">IF(OR(A128="",C128=""),"",IF(G128="Terminada","Hecha",IF(C128&lt;TODAY(),"Vencida",IF(C128-TODAY()&lt;=Instrucciones!$C$16,"Urgente",IF(E128&lt;&gt;"Sí","Verificar fecha","")))))</f>
        <v/>
      </c>
      <c r="J128" s="0" t="str">
        <f aca="true">IF(OR($A128="",$C128="",$G128="Terminada"),"",IF($C128&lt;=TODAY()+6,$C128+ROW()/100000,""))</f>
        <v/>
      </c>
      <c r="K128" s="0" t="str">
        <f aca="false">IF(J128="","",COUNTIF($J$2:$J$201,"&lt;"&amp;J128)+1)</f>
        <v/>
      </c>
    </row>
    <row r="129" customFormat="false" ht="15" hidden="false" customHeight="false" outlineLevel="0" collapsed="false">
      <c r="A129" s="12"/>
      <c r="B129" s="12"/>
      <c r="C129" s="15"/>
      <c r="D129" s="16"/>
      <c r="E129" s="17"/>
      <c r="F129" s="17"/>
      <c r="G129" s="17"/>
      <c r="H129" s="18" t="str">
        <f aca="true">IF(OR(A129="",C129=""),"",C129-TODAY())</f>
        <v/>
      </c>
      <c r="I129" s="19" t="str">
        <f aca="true">IF(OR(A129="",C129=""),"",IF(G129="Terminada","Hecha",IF(C129&lt;TODAY(),"Vencida",IF(C129-TODAY()&lt;=Instrucciones!$C$16,"Urgente",IF(E129&lt;&gt;"Sí","Verificar fecha","")))))</f>
        <v/>
      </c>
      <c r="J129" s="0" t="str">
        <f aca="true">IF(OR($A129="",$C129="",$G129="Terminada"),"",IF($C129&lt;=TODAY()+6,$C129+ROW()/100000,""))</f>
        <v/>
      </c>
      <c r="K129" s="0" t="str">
        <f aca="false">IF(J129="","",COUNTIF($J$2:$J$201,"&lt;"&amp;J129)+1)</f>
        <v/>
      </c>
    </row>
    <row r="130" customFormat="false" ht="15" hidden="false" customHeight="false" outlineLevel="0" collapsed="false">
      <c r="A130" s="12"/>
      <c r="B130" s="12"/>
      <c r="C130" s="15"/>
      <c r="D130" s="16"/>
      <c r="E130" s="17"/>
      <c r="F130" s="17"/>
      <c r="G130" s="17"/>
      <c r="H130" s="18" t="str">
        <f aca="true">IF(OR(A130="",C130=""),"",C130-TODAY())</f>
        <v/>
      </c>
      <c r="I130" s="19" t="str">
        <f aca="true">IF(OR(A130="",C130=""),"",IF(G130="Terminada","Hecha",IF(C130&lt;TODAY(),"Vencida",IF(C130-TODAY()&lt;=Instrucciones!$C$16,"Urgente",IF(E130&lt;&gt;"Sí","Verificar fecha","")))))</f>
        <v/>
      </c>
      <c r="J130" s="0" t="str">
        <f aca="true">IF(OR($A130="",$C130="",$G130="Terminada"),"",IF($C130&lt;=TODAY()+6,$C130+ROW()/100000,""))</f>
        <v/>
      </c>
      <c r="K130" s="0" t="str">
        <f aca="false">IF(J130="","",COUNTIF($J$2:$J$201,"&lt;"&amp;J130)+1)</f>
        <v/>
      </c>
    </row>
    <row r="131" customFormat="false" ht="15" hidden="false" customHeight="false" outlineLevel="0" collapsed="false">
      <c r="A131" s="12"/>
      <c r="B131" s="12"/>
      <c r="C131" s="15"/>
      <c r="D131" s="16"/>
      <c r="E131" s="17"/>
      <c r="F131" s="17"/>
      <c r="G131" s="17"/>
      <c r="H131" s="18" t="str">
        <f aca="true">IF(OR(A131="",C131=""),"",C131-TODAY())</f>
        <v/>
      </c>
      <c r="I131" s="19" t="str">
        <f aca="true">IF(OR(A131="",C131=""),"",IF(G131="Terminada","Hecha",IF(C131&lt;TODAY(),"Vencida",IF(C131-TODAY()&lt;=Instrucciones!$C$16,"Urgente",IF(E131&lt;&gt;"Sí","Verificar fecha","")))))</f>
        <v/>
      </c>
      <c r="J131" s="0" t="str">
        <f aca="true">IF(OR($A131="",$C131="",$G131="Terminada"),"",IF($C131&lt;=TODAY()+6,$C131+ROW()/100000,""))</f>
        <v/>
      </c>
      <c r="K131" s="0" t="str">
        <f aca="false">IF(J131="","",COUNTIF($J$2:$J$201,"&lt;"&amp;J131)+1)</f>
        <v/>
      </c>
    </row>
    <row r="132" customFormat="false" ht="15" hidden="false" customHeight="false" outlineLevel="0" collapsed="false">
      <c r="A132" s="12"/>
      <c r="B132" s="12"/>
      <c r="C132" s="15"/>
      <c r="D132" s="16"/>
      <c r="E132" s="17"/>
      <c r="F132" s="17"/>
      <c r="G132" s="17"/>
      <c r="H132" s="18" t="str">
        <f aca="true">IF(OR(A132="",C132=""),"",C132-TODAY())</f>
        <v/>
      </c>
      <c r="I132" s="19" t="str">
        <f aca="true">IF(OR(A132="",C132=""),"",IF(G132="Terminada","Hecha",IF(C132&lt;TODAY(),"Vencida",IF(C132-TODAY()&lt;=Instrucciones!$C$16,"Urgente",IF(E132&lt;&gt;"Sí","Verificar fecha","")))))</f>
        <v/>
      </c>
      <c r="J132" s="0" t="str">
        <f aca="true">IF(OR($A132="",$C132="",$G132="Terminada"),"",IF($C132&lt;=TODAY()+6,$C132+ROW()/100000,""))</f>
        <v/>
      </c>
      <c r="K132" s="0" t="str">
        <f aca="false">IF(J132="","",COUNTIF($J$2:$J$201,"&lt;"&amp;J132)+1)</f>
        <v/>
      </c>
    </row>
    <row r="133" customFormat="false" ht="15" hidden="false" customHeight="false" outlineLevel="0" collapsed="false">
      <c r="A133" s="12"/>
      <c r="B133" s="12"/>
      <c r="C133" s="15"/>
      <c r="D133" s="16"/>
      <c r="E133" s="17"/>
      <c r="F133" s="17"/>
      <c r="G133" s="17"/>
      <c r="H133" s="18" t="str">
        <f aca="true">IF(OR(A133="",C133=""),"",C133-TODAY())</f>
        <v/>
      </c>
      <c r="I133" s="19" t="str">
        <f aca="true">IF(OR(A133="",C133=""),"",IF(G133="Terminada","Hecha",IF(C133&lt;TODAY(),"Vencida",IF(C133-TODAY()&lt;=Instrucciones!$C$16,"Urgente",IF(E133&lt;&gt;"Sí","Verificar fecha","")))))</f>
        <v/>
      </c>
      <c r="J133" s="0" t="str">
        <f aca="true">IF(OR($A133="",$C133="",$G133="Terminada"),"",IF($C133&lt;=TODAY()+6,$C133+ROW()/100000,""))</f>
        <v/>
      </c>
      <c r="K133" s="0" t="str">
        <f aca="false">IF(J133="","",COUNTIF($J$2:$J$201,"&lt;"&amp;J133)+1)</f>
        <v/>
      </c>
    </row>
    <row r="134" customFormat="false" ht="15" hidden="false" customHeight="false" outlineLevel="0" collapsed="false">
      <c r="A134" s="12"/>
      <c r="B134" s="12"/>
      <c r="C134" s="15"/>
      <c r="D134" s="16"/>
      <c r="E134" s="17"/>
      <c r="F134" s="17"/>
      <c r="G134" s="17"/>
      <c r="H134" s="18" t="str">
        <f aca="true">IF(OR(A134="",C134=""),"",C134-TODAY())</f>
        <v/>
      </c>
      <c r="I134" s="19" t="str">
        <f aca="true">IF(OR(A134="",C134=""),"",IF(G134="Terminada","Hecha",IF(C134&lt;TODAY(),"Vencida",IF(C134-TODAY()&lt;=Instrucciones!$C$16,"Urgente",IF(E134&lt;&gt;"Sí","Verificar fecha","")))))</f>
        <v/>
      </c>
      <c r="J134" s="0" t="str">
        <f aca="true">IF(OR($A134="",$C134="",$G134="Terminada"),"",IF($C134&lt;=TODAY()+6,$C134+ROW()/100000,""))</f>
        <v/>
      </c>
      <c r="K134" s="0" t="str">
        <f aca="false">IF(J134="","",COUNTIF($J$2:$J$201,"&lt;"&amp;J134)+1)</f>
        <v/>
      </c>
    </row>
    <row r="135" customFormat="false" ht="15" hidden="false" customHeight="false" outlineLevel="0" collapsed="false">
      <c r="A135" s="12"/>
      <c r="B135" s="12"/>
      <c r="C135" s="15"/>
      <c r="D135" s="16"/>
      <c r="E135" s="17"/>
      <c r="F135" s="17"/>
      <c r="G135" s="17"/>
      <c r="H135" s="18" t="str">
        <f aca="true">IF(OR(A135="",C135=""),"",C135-TODAY())</f>
        <v/>
      </c>
      <c r="I135" s="19" t="str">
        <f aca="true">IF(OR(A135="",C135=""),"",IF(G135="Terminada","Hecha",IF(C135&lt;TODAY(),"Vencida",IF(C135-TODAY()&lt;=Instrucciones!$C$16,"Urgente",IF(E135&lt;&gt;"Sí","Verificar fecha","")))))</f>
        <v/>
      </c>
      <c r="J135" s="0" t="str">
        <f aca="true">IF(OR($A135="",$C135="",$G135="Terminada"),"",IF($C135&lt;=TODAY()+6,$C135+ROW()/100000,""))</f>
        <v/>
      </c>
      <c r="K135" s="0" t="str">
        <f aca="false">IF(J135="","",COUNTIF($J$2:$J$201,"&lt;"&amp;J135)+1)</f>
        <v/>
      </c>
    </row>
    <row r="136" customFormat="false" ht="15" hidden="false" customHeight="false" outlineLevel="0" collapsed="false">
      <c r="A136" s="12"/>
      <c r="B136" s="12"/>
      <c r="C136" s="15"/>
      <c r="D136" s="16"/>
      <c r="E136" s="17"/>
      <c r="F136" s="17"/>
      <c r="G136" s="17"/>
      <c r="H136" s="18" t="str">
        <f aca="true">IF(OR(A136="",C136=""),"",C136-TODAY())</f>
        <v/>
      </c>
      <c r="I136" s="19" t="str">
        <f aca="true">IF(OR(A136="",C136=""),"",IF(G136="Terminada","Hecha",IF(C136&lt;TODAY(),"Vencida",IF(C136-TODAY()&lt;=Instrucciones!$C$16,"Urgente",IF(E136&lt;&gt;"Sí","Verificar fecha","")))))</f>
        <v/>
      </c>
      <c r="J136" s="0" t="str">
        <f aca="true">IF(OR($A136="",$C136="",$G136="Terminada"),"",IF($C136&lt;=TODAY()+6,$C136+ROW()/100000,""))</f>
        <v/>
      </c>
      <c r="K136" s="0" t="str">
        <f aca="false">IF(J136="","",COUNTIF($J$2:$J$201,"&lt;"&amp;J136)+1)</f>
        <v/>
      </c>
    </row>
    <row r="137" customFormat="false" ht="15" hidden="false" customHeight="false" outlineLevel="0" collapsed="false">
      <c r="A137" s="12"/>
      <c r="B137" s="12"/>
      <c r="C137" s="15"/>
      <c r="D137" s="16"/>
      <c r="E137" s="17"/>
      <c r="F137" s="17"/>
      <c r="G137" s="17"/>
      <c r="H137" s="18" t="str">
        <f aca="true">IF(OR(A137="",C137=""),"",C137-TODAY())</f>
        <v/>
      </c>
      <c r="I137" s="19" t="str">
        <f aca="true">IF(OR(A137="",C137=""),"",IF(G137="Terminada","Hecha",IF(C137&lt;TODAY(),"Vencida",IF(C137-TODAY()&lt;=Instrucciones!$C$16,"Urgente",IF(E137&lt;&gt;"Sí","Verificar fecha","")))))</f>
        <v/>
      </c>
      <c r="J137" s="0" t="str">
        <f aca="true">IF(OR($A137="",$C137="",$G137="Terminada"),"",IF($C137&lt;=TODAY()+6,$C137+ROW()/100000,""))</f>
        <v/>
      </c>
      <c r="K137" s="0" t="str">
        <f aca="false">IF(J137="","",COUNTIF($J$2:$J$201,"&lt;"&amp;J137)+1)</f>
        <v/>
      </c>
    </row>
    <row r="138" customFormat="false" ht="15" hidden="false" customHeight="false" outlineLevel="0" collapsed="false">
      <c r="A138" s="12"/>
      <c r="B138" s="12"/>
      <c r="C138" s="15"/>
      <c r="D138" s="16"/>
      <c r="E138" s="17"/>
      <c r="F138" s="17"/>
      <c r="G138" s="17"/>
      <c r="H138" s="18" t="str">
        <f aca="true">IF(OR(A138="",C138=""),"",C138-TODAY())</f>
        <v/>
      </c>
      <c r="I138" s="19" t="str">
        <f aca="true">IF(OR(A138="",C138=""),"",IF(G138="Terminada","Hecha",IF(C138&lt;TODAY(),"Vencida",IF(C138-TODAY()&lt;=Instrucciones!$C$16,"Urgente",IF(E138&lt;&gt;"Sí","Verificar fecha","")))))</f>
        <v/>
      </c>
      <c r="J138" s="0" t="str">
        <f aca="true">IF(OR($A138="",$C138="",$G138="Terminada"),"",IF($C138&lt;=TODAY()+6,$C138+ROW()/100000,""))</f>
        <v/>
      </c>
      <c r="K138" s="0" t="str">
        <f aca="false">IF(J138="","",COUNTIF($J$2:$J$201,"&lt;"&amp;J138)+1)</f>
        <v/>
      </c>
    </row>
    <row r="139" customFormat="false" ht="15" hidden="false" customHeight="false" outlineLevel="0" collapsed="false">
      <c r="A139" s="12"/>
      <c r="B139" s="12"/>
      <c r="C139" s="15"/>
      <c r="D139" s="16"/>
      <c r="E139" s="17"/>
      <c r="F139" s="17"/>
      <c r="G139" s="17"/>
      <c r="H139" s="18" t="str">
        <f aca="true">IF(OR(A139="",C139=""),"",C139-TODAY())</f>
        <v/>
      </c>
      <c r="I139" s="19" t="str">
        <f aca="true">IF(OR(A139="",C139=""),"",IF(G139="Terminada","Hecha",IF(C139&lt;TODAY(),"Vencida",IF(C139-TODAY()&lt;=Instrucciones!$C$16,"Urgente",IF(E139&lt;&gt;"Sí","Verificar fecha","")))))</f>
        <v/>
      </c>
      <c r="J139" s="0" t="str">
        <f aca="true">IF(OR($A139="",$C139="",$G139="Terminada"),"",IF($C139&lt;=TODAY()+6,$C139+ROW()/100000,""))</f>
        <v/>
      </c>
      <c r="K139" s="0" t="str">
        <f aca="false">IF(J139="","",COUNTIF($J$2:$J$201,"&lt;"&amp;J139)+1)</f>
        <v/>
      </c>
    </row>
    <row r="140" customFormat="false" ht="15" hidden="false" customHeight="false" outlineLevel="0" collapsed="false">
      <c r="A140" s="12"/>
      <c r="B140" s="12"/>
      <c r="C140" s="15"/>
      <c r="D140" s="16"/>
      <c r="E140" s="17"/>
      <c r="F140" s="17"/>
      <c r="G140" s="17"/>
      <c r="H140" s="18" t="str">
        <f aca="true">IF(OR(A140="",C140=""),"",C140-TODAY())</f>
        <v/>
      </c>
      <c r="I140" s="19" t="str">
        <f aca="true">IF(OR(A140="",C140=""),"",IF(G140="Terminada","Hecha",IF(C140&lt;TODAY(),"Vencida",IF(C140-TODAY()&lt;=Instrucciones!$C$16,"Urgente",IF(E140&lt;&gt;"Sí","Verificar fecha","")))))</f>
        <v/>
      </c>
      <c r="J140" s="0" t="str">
        <f aca="true">IF(OR($A140="",$C140="",$G140="Terminada"),"",IF($C140&lt;=TODAY()+6,$C140+ROW()/100000,""))</f>
        <v/>
      </c>
      <c r="K140" s="0" t="str">
        <f aca="false">IF(J140="","",COUNTIF($J$2:$J$201,"&lt;"&amp;J140)+1)</f>
        <v/>
      </c>
    </row>
    <row r="141" customFormat="false" ht="15" hidden="false" customHeight="false" outlineLevel="0" collapsed="false">
      <c r="A141" s="12"/>
      <c r="B141" s="12"/>
      <c r="C141" s="15"/>
      <c r="D141" s="16"/>
      <c r="E141" s="17"/>
      <c r="F141" s="17"/>
      <c r="G141" s="17"/>
      <c r="H141" s="18" t="str">
        <f aca="true">IF(OR(A141="",C141=""),"",C141-TODAY())</f>
        <v/>
      </c>
      <c r="I141" s="19" t="str">
        <f aca="true">IF(OR(A141="",C141=""),"",IF(G141="Terminada","Hecha",IF(C141&lt;TODAY(),"Vencida",IF(C141-TODAY()&lt;=Instrucciones!$C$16,"Urgente",IF(E141&lt;&gt;"Sí","Verificar fecha","")))))</f>
        <v/>
      </c>
      <c r="J141" s="0" t="str">
        <f aca="true">IF(OR($A141="",$C141="",$G141="Terminada"),"",IF($C141&lt;=TODAY()+6,$C141+ROW()/100000,""))</f>
        <v/>
      </c>
      <c r="K141" s="0" t="str">
        <f aca="false">IF(J141="","",COUNTIF($J$2:$J$201,"&lt;"&amp;J141)+1)</f>
        <v/>
      </c>
    </row>
    <row r="142" customFormat="false" ht="15" hidden="false" customHeight="false" outlineLevel="0" collapsed="false">
      <c r="A142" s="12"/>
      <c r="B142" s="12"/>
      <c r="C142" s="15"/>
      <c r="D142" s="16"/>
      <c r="E142" s="17"/>
      <c r="F142" s="17"/>
      <c r="G142" s="17"/>
      <c r="H142" s="18" t="str">
        <f aca="true">IF(OR(A142="",C142=""),"",C142-TODAY())</f>
        <v/>
      </c>
      <c r="I142" s="19" t="str">
        <f aca="true">IF(OR(A142="",C142=""),"",IF(G142="Terminada","Hecha",IF(C142&lt;TODAY(),"Vencida",IF(C142-TODAY()&lt;=Instrucciones!$C$16,"Urgente",IF(E142&lt;&gt;"Sí","Verificar fecha","")))))</f>
        <v/>
      </c>
      <c r="J142" s="0" t="str">
        <f aca="true">IF(OR($A142="",$C142="",$G142="Terminada"),"",IF($C142&lt;=TODAY()+6,$C142+ROW()/100000,""))</f>
        <v/>
      </c>
      <c r="K142" s="0" t="str">
        <f aca="false">IF(J142="","",COUNTIF($J$2:$J$201,"&lt;"&amp;J142)+1)</f>
        <v/>
      </c>
    </row>
    <row r="143" customFormat="false" ht="15" hidden="false" customHeight="false" outlineLevel="0" collapsed="false">
      <c r="A143" s="12"/>
      <c r="B143" s="12"/>
      <c r="C143" s="15"/>
      <c r="D143" s="16"/>
      <c r="E143" s="17"/>
      <c r="F143" s="17"/>
      <c r="G143" s="17"/>
      <c r="H143" s="18" t="str">
        <f aca="true">IF(OR(A143="",C143=""),"",C143-TODAY())</f>
        <v/>
      </c>
      <c r="I143" s="19" t="str">
        <f aca="true">IF(OR(A143="",C143=""),"",IF(G143="Terminada","Hecha",IF(C143&lt;TODAY(),"Vencida",IF(C143-TODAY()&lt;=Instrucciones!$C$16,"Urgente",IF(E143&lt;&gt;"Sí","Verificar fecha","")))))</f>
        <v/>
      </c>
      <c r="J143" s="0" t="str">
        <f aca="true">IF(OR($A143="",$C143="",$G143="Terminada"),"",IF($C143&lt;=TODAY()+6,$C143+ROW()/100000,""))</f>
        <v/>
      </c>
      <c r="K143" s="0" t="str">
        <f aca="false">IF(J143="","",COUNTIF($J$2:$J$201,"&lt;"&amp;J143)+1)</f>
        <v/>
      </c>
    </row>
    <row r="144" customFormat="false" ht="15" hidden="false" customHeight="false" outlineLevel="0" collapsed="false">
      <c r="A144" s="12"/>
      <c r="B144" s="12"/>
      <c r="C144" s="15"/>
      <c r="D144" s="16"/>
      <c r="E144" s="17"/>
      <c r="F144" s="17"/>
      <c r="G144" s="17"/>
      <c r="H144" s="18" t="str">
        <f aca="true">IF(OR(A144="",C144=""),"",C144-TODAY())</f>
        <v/>
      </c>
      <c r="I144" s="19" t="str">
        <f aca="true">IF(OR(A144="",C144=""),"",IF(G144="Terminada","Hecha",IF(C144&lt;TODAY(),"Vencida",IF(C144-TODAY()&lt;=Instrucciones!$C$16,"Urgente",IF(E144&lt;&gt;"Sí","Verificar fecha","")))))</f>
        <v/>
      </c>
      <c r="J144" s="0" t="str">
        <f aca="true">IF(OR($A144="",$C144="",$G144="Terminada"),"",IF($C144&lt;=TODAY()+6,$C144+ROW()/100000,""))</f>
        <v/>
      </c>
      <c r="K144" s="0" t="str">
        <f aca="false">IF(J144="","",COUNTIF($J$2:$J$201,"&lt;"&amp;J144)+1)</f>
        <v/>
      </c>
    </row>
    <row r="145" customFormat="false" ht="15" hidden="false" customHeight="false" outlineLevel="0" collapsed="false">
      <c r="A145" s="12"/>
      <c r="B145" s="12"/>
      <c r="C145" s="15"/>
      <c r="D145" s="16"/>
      <c r="E145" s="17"/>
      <c r="F145" s="17"/>
      <c r="G145" s="17"/>
      <c r="H145" s="18" t="str">
        <f aca="true">IF(OR(A145="",C145=""),"",C145-TODAY())</f>
        <v/>
      </c>
      <c r="I145" s="19" t="str">
        <f aca="true">IF(OR(A145="",C145=""),"",IF(G145="Terminada","Hecha",IF(C145&lt;TODAY(),"Vencida",IF(C145-TODAY()&lt;=Instrucciones!$C$16,"Urgente",IF(E145&lt;&gt;"Sí","Verificar fecha","")))))</f>
        <v/>
      </c>
      <c r="J145" s="0" t="str">
        <f aca="true">IF(OR($A145="",$C145="",$G145="Terminada"),"",IF($C145&lt;=TODAY()+6,$C145+ROW()/100000,""))</f>
        <v/>
      </c>
      <c r="K145" s="0" t="str">
        <f aca="false">IF(J145="","",COUNTIF($J$2:$J$201,"&lt;"&amp;J145)+1)</f>
        <v/>
      </c>
    </row>
    <row r="146" customFormat="false" ht="15" hidden="false" customHeight="false" outlineLevel="0" collapsed="false">
      <c r="A146" s="12"/>
      <c r="B146" s="12"/>
      <c r="C146" s="15"/>
      <c r="D146" s="16"/>
      <c r="E146" s="17"/>
      <c r="F146" s="17"/>
      <c r="G146" s="17"/>
      <c r="H146" s="18" t="str">
        <f aca="true">IF(OR(A146="",C146=""),"",C146-TODAY())</f>
        <v/>
      </c>
      <c r="I146" s="19" t="str">
        <f aca="true">IF(OR(A146="",C146=""),"",IF(G146="Terminada","Hecha",IF(C146&lt;TODAY(),"Vencida",IF(C146-TODAY()&lt;=Instrucciones!$C$16,"Urgente",IF(E146&lt;&gt;"Sí","Verificar fecha","")))))</f>
        <v/>
      </c>
      <c r="J146" s="0" t="str">
        <f aca="true">IF(OR($A146="",$C146="",$G146="Terminada"),"",IF($C146&lt;=TODAY()+6,$C146+ROW()/100000,""))</f>
        <v/>
      </c>
      <c r="K146" s="0" t="str">
        <f aca="false">IF(J146="","",COUNTIF($J$2:$J$201,"&lt;"&amp;J146)+1)</f>
        <v/>
      </c>
    </row>
    <row r="147" customFormat="false" ht="15" hidden="false" customHeight="false" outlineLevel="0" collapsed="false">
      <c r="A147" s="12"/>
      <c r="B147" s="12"/>
      <c r="C147" s="15"/>
      <c r="D147" s="16"/>
      <c r="E147" s="17"/>
      <c r="F147" s="17"/>
      <c r="G147" s="17"/>
      <c r="H147" s="18" t="str">
        <f aca="true">IF(OR(A147="",C147=""),"",C147-TODAY())</f>
        <v/>
      </c>
      <c r="I147" s="19" t="str">
        <f aca="true">IF(OR(A147="",C147=""),"",IF(G147="Terminada","Hecha",IF(C147&lt;TODAY(),"Vencida",IF(C147-TODAY()&lt;=Instrucciones!$C$16,"Urgente",IF(E147&lt;&gt;"Sí","Verificar fecha","")))))</f>
        <v/>
      </c>
      <c r="J147" s="0" t="str">
        <f aca="true">IF(OR($A147="",$C147="",$G147="Terminada"),"",IF($C147&lt;=TODAY()+6,$C147+ROW()/100000,""))</f>
        <v/>
      </c>
      <c r="K147" s="0" t="str">
        <f aca="false">IF(J147="","",COUNTIF($J$2:$J$201,"&lt;"&amp;J147)+1)</f>
        <v/>
      </c>
    </row>
    <row r="148" customFormat="false" ht="15" hidden="false" customHeight="false" outlineLevel="0" collapsed="false">
      <c r="A148" s="12"/>
      <c r="B148" s="12"/>
      <c r="C148" s="15"/>
      <c r="D148" s="16"/>
      <c r="E148" s="17"/>
      <c r="F148" s="17"/>
      <c r="G148" s="17"/>
      <c r="H148" s="18" t="str">
        <f aca="true">IF(OR(A148="",C148=""),"",C148-TODAY())</f>
        <v/>
      </c>
      <c r="I148" s="19" t="str">
        <f aca="true">IF(OR(A148="",C148=""),"",IF(G148="Terminada","Hecha",IF(C148&lt;TODAY(),"Vencida",IF(C148-TODAY()&lt;=Instrucciones!$C$16,"Urgente",IF(E148&lt;&gt;"Sí","Verificar fecha","")))))</f>
        <v/>
      </c>
      <c r="J148" s="0" t="str">
        <f aca="true">IF(OR($A148="",$C148="",$G148="Terminada"),"",IF($C148&lt;=TODAY()+6,$C148+ROW()/100000,""))</f>
        <v/>
      </c>
      <c r="K148" s="0" t="str">
        <f aca="false">IF(J148="","",COUNTIF($J$2:$J$201,"&lt;"&amp;J148)+1)</f>
        <v/>
      </c>
    </row>
    <row r="149" customFormat="false" ht="15" hidden="false" customHeight="false" outlineLevel="0" collapsed="false">
      <c r="A149" s="12"/>
      <c r="B149" s="12"/>
      <c r="C149" s="15"/>
      <c r="D149" s="16"/>
      <c r="E149" s="17"/>
      <c r="F149" s="17"/>
      <c r="G149" s="17"/>
      <c r="H149" s="18" t="str">
        <f aca="true">IF(OR(A149="",C149=""),"",C149-TODAY())</f>
        <v/>
      </c>
      <c r="I149" s="19" t="str">
        <f aca="true">IF(OR(A149="",C149=""),"",IF(G149="Terminada","Hecha",IF(C149&lt;TODAY(),"Vencida",IF(C149-TODAY()&lt;=Instrucciones!$C$16,"Urgente",IF(E149&lt;&gt;"Sí","Verificar fecha","")))))</f>
        <v/>
      </c>
      <c r="J149" s="0" t="str">
        <f aca="true">IF(OR($A149="",$C149="",$G149="Terminada"),"",IF($C149&lt;=TODAY()+6,$C149+ROW()/100000,""))</f>
        <v/>
      </c>
      <c r="K149" s="0" t="str">
        <f aca="false">IF(J149="","",COUNTIF($J$2:$J$201,"&lt;"&amp;J149)+1)</f>
        <v/>
      </c>
    </row>
    <row r="150" customFormat="false" ht="15" hidden="false" customHeight="false" outlineLevel="0" collapsed="false">
      <c r="A150" s="12"/>
      <c r="B150" s="12"/>
      <c r="C150" s="15"/>
      <c r="D150" s="16"/>
      <c r="E150" s="17"/>
      <c r="F150" s="17"/>
      <c r="G150" s="17"/>
      <c r="H150" s="18" t="str">
        <f aca="true">IF(OR(A150="",C150=""),"",C150-TODAY())</f>
        <v/>
      </c>
      <c r="I150" s="19" t="str">
        <f aca="true">IF(OR(A150="",C150=""),"",IF(G150="Terminada","Hecha",IF(C150&lt;TODAY(),"Vencida",IF(C150-TODAY()&lt;=Instrucciones!$C$16,"Urgente",IF(E150&lt;&gt;"Sí","Verificar fecha","")))))</f>
        <v/>
      </c>
      <c r="J150" s="0" t="str">
        <f aca="true">IF(OR($A150="",$C150="",$G150="Terminada"),"",IF($C150&lt;=TODAY()+6,$C150+ROW()/100000,""))</f>
        <v/>
      </c>
      <c r="K150" s="0" t="str">
        <f aca="false">IF(J150="","",COUNTIF($J$2:$J$201,"&lt;"&amp;J150)+1)</f>
        <v/>
      </c>
    </row>
    <row r="151" customFormat="false" ht="15" hidden="false" customHeight="false" outlineLevel="0" collapsed="false">
      <c r="A151" s="12"/>
      <c r="B151" s="12"/>
      <c r="C151" s="15"/>
      <c r="D151" s="16"/>
      <c r="E151" s="17"/>
      <c r="F151" s="17"/>
      <c r="G151" s="17"/>
      <c r="H151" s="18" t="str">
        <f aca="true">IF(OR(A151="",C151=""),"",C151-TODAY())</f>
        <v/>
      </c>
      <c r="I151" s="19" t="str">
        <f aca="true">IF(OR(A151="",C151=""),"",IF(G151="Terminada","Hecha",IF(C151&lt;TODAY(),"Vencida",IF(C151-TODAY()&lt;=Instrucciones!$C$16,"Urgente",IF(E151&lt;&gt;"Sí","Verificar fecha","")))))</f>
        <v/>
      </c>
      <c r="J151" s="0" t="str">
        <f aca="true">IF(OR($A151="",$C151="",$G151="Terminada"),"",IF($C151&lt;=TODAY()+6,$C151+ROW()/100000,""))</f>
        <v/>
      </c>
      <c r="K151" s="0" t="str">
        <f aca="false">IF(J151="","",COUNTIF($J$2:$J$201,"&lt;"&amp;J151)+1)</f>
        <v/>
      </c>
    </row>
    <row r="152" customFormat="false" ht="15" hidden="false" customHeight="false" outlineLevel="0" collapsed="false">
      <c r="A152" s="12"/>
      <c r="B152" s="12"/>
      <c r="C152" s="15"/>
      <c r="D152" s="16"/>
      <c r="E152" s="17"/>
      <c r="F152" s="17"/>
      <c r="G152" s="17"/>
      <c r="H152" s="18" t="str">
        <f aca="true">IF(OR(A152="",C152=""),"",C152-TODAY())</f>
        <v/>
      </c>
      <c r="I152" s="19" t="str">
        <f aca="true">IF(OR(A152="",C152=""),"",IF(G152="Terminada","Hecha",IF(C152&lt;TODAY(),"Vencida",IF(C152-TODAY()&lt;=Instrucciones!$C$16,"Urgente",IF(E152&lt;&gt;"Sí","Verificar fecha","")))))</f>
        <v/>
      </c>
      <c r="J152" s="0" t="str">
        <f aca="true">IF(OR($A152="",$C152="",$G152="Terminada"),"",IF($C152&lt;=TODAY()+6,$C152+ROW()/100000,""))</f>
        <v/>
      </c>
      <c r="K152" s="0" t="str">
        <f aca="false">IF(J152="","",COUNTIF($J$2:$J$201,"&lt;"&amp;J152)+1)</f>
        <v/>
      </c>
    </row>
    <row r="153" customFormat="false" ht="15" hidden="false" customHeight="false" outlineLevel="0" collapsed="false">
      <c r="A153" s="12"/>
      <c r="B153" s="12"/>
      <c r="C153" s="15"/>
      <c r="D153" s="16"/>
      <c r="E153" s="17"/>
      <c r="F153" s="17"/>
      <c r="G153" s="17"/>
      <c r="H153" s="18" t="str">
        <f aca="true">IF(OR(A153="",C153=""),"",C153-TODAY())</f>
        <v/>
      </c>
      <c r="I153" s="19" t="str">
        <f aca="true">IF(OR(A153="",C153=""),"",IF(G153="Terminada","Hecha",IF(C153&lt;TODAY(),"Vencida",IF(C153-TODAY()&lt;=Instrucciones!$C$16,"Urgente",IF(E153&lt;&gt;"Sí","Verificar fecha","")))))</f>
        <v/>
      </c>
      <c r="J153" s="0" t="str">
        <f aca="true">IF(OR($A153="",$C153="",$G153="Terminada"),"",IF($C153&lt;=TODAY()+6,$C153+ROW()/100000,""))</f>
        <v/>
      </c>
      <c r="K153" s="0" t="str">
        <f aca="false">IF(J153="","",COUNTIF($J$2:$J$201,"&lt;"&amp;J153)+1)</f>
        <v/>
      </c>
    </row>
    <row r="154" customFormat="false" ht="15" hidden="false" customHeight="false" outlineLevel="0" collapsed="false">
      <c r="A154" s="12"/>
      <c r="B154" s="12"/>
      <c r="C154" s="15"/>
      <c r="D154" s="16"/>
      <c r="E154" s="17"/>
      <c r="F154" s="17"/>
      <c r="G154" s="17"/>
      <c r="H154" s="18" t="str">
        <f aca="true">IF(OR(A154="",C154=""),"",C154-TODAY())</f>
        <v/>
      </c>
      <c r="I154" s="19" t="str">
        <f aca="true">IF(OR(A154="",C154=""),"",IF(G154="Terminada","Hecha",IF(C154&lt;TODAY(),"Vencida",IF(C154-TODAY()&lt;=Instrucciones!$C$16,"Urgente",IF(E154&lt;&gt;"Sí","Verificar fecha","")))))</f>
        <v/>
      </c>
      <c r="J154" s="0" t="str">
        <f aca="true">IF(OR($A154="",$C154="",$G154="Terminada"),"",IF($C154&lt;=TODAY()+6,$C154+ROW()/100000,""))</f>
        <v/>
      </c>
      <c r="K154" s="0" t="str">
        <f aca="false">IF(J154="","",COUNTIF($J$2:$J$201,"&lt;"&amp;J154)+1)</f>
        <v/>
      </c>
    </row>
    <row r="155" customFormat="false" ht="15" hidden="false" customHeight="false" outlineLevel="0" collapsed="false">
      <c r="A155" s="12"/>
      <c r="B155" s="12"/>
      <c r="C155" s="15"/>
      <c r="D155" s="16"/>
      <c r="E155" s="17"/>
      <c r="F155" s="17"/>
      <c r="G155" s="17"/>
      <c r="H155" s="18" t="str">
        <f aca="true">IF(OR(A155="",C155=""),"",C155-TODAY())</f>
        <v/>
      </c>
      <c r="I155" s="19" t="str">
        <f aca="true">IF(OR(A155="",C155=""),"",IF(G155="Terminada","Hecha",IF(C155&lt;TODAY(),"Vencida",IF(C155-TODAY()&lt;=Instrucciones!$C$16,"Urgente",IF(E155&lt;&gt;"Sí","Verificar fecha","")))))</f>
        <v/>
      </c>
      <c r="J155" s="0" t="str">
        <f aca="true">IF(OR($A155="",$C155="",$G155="Terminada"),"",IF($C155&lt;=TODAY()+6,$C155+ROW()/100000,""))</f>
        <v/>
      </c>
      <c r="K155" s="0" t="str">
        <f aca="false">IF(J155="","",COUNTIF($J$2:$J$201,"&lt;"&amp;J155)+1)</f>
        <v/>
      </c>
    </row>
    <row r="156" customFormat="false" ht="15" hidden="false" customHeight="false" outlineLevel="0" collapsed="false">
      <c r="A156" s="12"/>
      <c r="B156" s="12"/>
      <c r="C156" s="15"/>
      <c r="D156" s="16"/>
      <c r="E156" s="17"/>
      <c r="F156" s="17"/>
      <c r="G156" s="17"/>
      <c r="H156" s="18" t="str">
        <f aca="true">IF(OR(A156="",C156=""),"",C156-TODAY())</f>
        <v/>
      </c>
      <c r="I156" s="19" t="str">
        <f aca="true">IF(OR(A156="",C156=""),"",IF(G156="Terminada","Hecha",IF(C156&lt;TODAY(),"Vencida",IF(C156-TODAY()&lt;=Instrucciones!$C$16,"Urgente",IF(E156&lt;&gt;"Sí","Verificar fecha","")))))</f>
        <v/>
      </c>
      <c r="J156" s="0" t="str">
        <f aca="true">IF(OR($A156="",$C156="",$G156="Terminada"),"",IF($C156&lt;=TODAY()+6,$C156+ROW()/100000,""))</f>
        <v/>
      </c>
      <c r="K156" s="0" t="str">
        <f aca="false">IF(J156="","",COUNTIF($J$2:$J$201,"&lt;"&amp;J156)+1)</f>
        <v/>
      </c>
    </row>
    <row r="157" customFormat="false" ht="15" hidden="false" customHeight="false" outlineLevel="0" collapsed="false">
      <c r="A157" s="12"/>
      <c r="B157" s="12"/>
      <c r="C157" s="15"/>
      <c r="D157" s="16"/>
      <c r="E157" s="17"/>
      <c r="F157" s="17"/>
      <c r="G157" s="17"/>
      <c r="H157" s="18" t="str">
        <f aca="true">IF(OR(A157="",C157=""),"",C157-TODAY())</f>
        <v/>
      </c>
      <c r="I157" s="19" t="str">
        <f aca="true">IF(OR(A157="",C157=""),"",IF(G157="Terminada","Hecha",IF(C157&lt;TODAY(),"Vencida",IF(C157-TODAY()&lt;=Instrucciones!$C$16,"Urgente",IF(E157&lt;&gt;"Sí","Verificar fecha","")))))</f>
        <v/>
      </c>
      <c r="J157" s="0" t="str">
        <f aca="true">IF(OR($A157="",$C157="",$G157="Terminada"),"",IF($C157&lt;=TODAY()+6,$C157+ROW()/100000,""))</f>
        <v/>
      </c>
      <c r="K157" s="0" t="str">
        <f aca="false">IF(J157="","",COUNTIF($J$2:$J$201,"&lt;"&amp;J157)+1)</f>
        <v/>
      </c>
    </row>
    <row r="158" customFormat="false" ht="15" hidden="false" customHeight="false" outlineLevel="0" collapsed="false">
      <c r="A158" s="12"/>
      <c r="B158" s="12"/>
      <c r="C158" s="15"/>
      <c r="D158" s="16"/>
      <c r="E158" s="17"/>
      <c r="F158" s="17"/>
      <c r="G158" s="17"/>
      <c r="H158" s="18" t="str">
        <f aca="true">IF(OR(A158="",C158=""),"",C158-TODAY())</f>
        <v/>
      </c>
      <c r="I158" s="19" t="str">
        <f aca="true">IF(OR(A158="",C158=""),"",IF(G158="Terminada","Hecha",IF(C158&lt;TODAY(),"Vencida",IF(C158-TODAY()&lt;=Instrucciones!$C$16,"Urgente",IF(E158&lt;&gt;"Sí","Verificar fecha","")))))</f>
        <v/>
      </c>
      <c r="J158" s="0" t="str">
        <f aca="true">IF(OR($A158="",$C158="",$G158="Terminada"),"",IF($C158&lt;=TODAY()+6,$C158+ROW()/100000,""))</f>
        <v/>
      </c>
      <c r="K158" s="0" t="str">
        <f aca="false">IF(J158="","",COUNTIF($J$2:$J$201,"&lt;"&amp;J158)+1)</f>
        <v/>
      </c>
    </row>
    <row r="159" customFormat="false" ht="15" hidden="false" customHeight="false" outlineLevel="0" collapsed="false">
      <c r="A159" s="12"/>
      <c r="B159" s="12"/>
      <c r="C159" s="15"/>
      <c r="D159" s="16"/>
      <c r="E159" s="17"/>
      <c r="F159" s="17"/>
      <c r="G159" s="17"/>
      <c r="H159" s="18" t="str">
        <f aca="true">IF(OR(A159="",C159=""),"",C159-TODAY())</f>
        <v/>
      </c>
      <c r="I159" s="19" t="str">
        <f aca="true">IF(OR(A159="",C159=""),"",IF(G159="Terminada","Hecha",IF(C159&lt;TODAY(),"Vencida",IF(C159-TODAY()&lt;=Instrucciones!$C$16,"Urgente",IF(E159&lt;&gt;"Sí","Verificar fecha","")))))</f>
        <v/>
      </c>
      <c r="J159" s="0" t="str">
        <f aca="true">IF(OR($A159="",$C159="",$G159="Terminada"),"",IF($C159&lt;=TODAY()+6,$C159+ROW()/100000,""))</f>
        <v/>
      </c>
      <c r="K159" s="0" t="str">
        <f aca="false">IF(J159="","",COUNTIF($J$2:$J$201,"&lt;"&amp;J159)+1)</f>
        <v/>
      </c>
    </row>
    <row r="160" customFormat="false" ht="15" hidden="false" customHeight="false" outlineLevel="0" collapsed="false">
      <c r="A160" s="12"/>
      <c r="B160" s="12"/>
      <c r="C160" s="15"/>
      <c r="D160" s="16"/>
      <c r="E160" s="17"/>
      <c r="F160" s="17"/>
      <c r="G160" s="17"/>
      <c r="H160" s="18" t="str">
        <f aca="true">IF(OR(A160="",C160=""),"",C160-TODAY())</f>
        <v/>
      </c>
      <c r="I160" s="19" t="str">
        <f aca="true">IF(OR(A160="",C160=""),"",IF(G160="Terminada","Hecha",IF(C160&lt;TODAY(),"Vencida",IF(C160-TODAY()&lt;=Instrucciones!$C$16,"Urgente",IF(E160&lt;&gt;"Sí","Verificar fecha","")))))</f>
        <v/>
      </c>
      <c r="J160" s="0" t="str">
        <f aca="true">IF(OR($A160="",$C160="",$G160="Terminada"),"",IF($C160&lt;=TODAY()+6,$C160+ROW()/100000,""))</f>
        <v/>
      </c>
      <c r="K160" s="0" t="str">
        <f aca="false">IF(J160="","",COUNTIF($J$2:$J$201,"&lt;"&amp;J160)+1)</f>
        <v/>
      </c>
    </row>
    <row r="161" customFormat="false" ht="15" hidden="false" customHeight="false" outlineLevel="0" collapsed="false">
      <c r="A161" s="12"/>
      <c r="B161" s="12"/>
      <c r="C161" s="15"/>
      <c r="D161" s="16"/>
      <c r="E161" s="17"/>
      <c r="F161" s="17"/>
      <c r="G161" s="17"/>
      <c r="H161" s="18" t="str">
        <f aca="true">IF(OR(A161="",C161=""),"",C161-TODAY())</f>
        <v/>
      </c>
      <c r="I161" s="19" t="str">
        <f aca="true">IF(OR(A161="",C161=""),"",IF(G161="Terminada","Hecha",IF(C161&lt;TODAY(),"Vencida",IF(C161-TODAY()&lt;=Instrucciones!$C$16,"Urgente",IF(E161&lt;&gt;"Sí","Verificar fecha","")))))</f>
        <v/>
      </c>
      <c r="J161" s="0" t="str">
        <f aca="true">IF(OR($A161="",$C161="",$G161="Terminada"),"",IF($C161&lt;=TODAY()+6,$C161+ROW()/100000,""))</f>
        <v/>
      </c>
      <c r="K161" s="0" t="str">
        <f aca="false">IF(J161="","",COUNTIF($J$2:$J$201,"&lt;"&amp;J161)+1)</f>
        <v/>
      </c>
    </row>
    <row r="162" customFormat="false" ht="15" hidden="false" customHeight="false" outlineLevel="0" collapsed="false">
      <c r="A162" s="12"/>
      <c r="B162" s="12"/>
      <c r="C162" s="15"/>
      <c r="D162" s="16"/>
      <c r="E162" s="17"/>
      <c r="F162" s="17"/>
      <c r="G162" s="17"/>
      <c r="H162" s="18" t="str">
        <f aca="true">IF(OR(A162="",C162=""),"",C162-TODAY())</f>
        <v/>
      </c>
      <c r="I162" s="19" t="str">
        <f aca="true">IF(OR(A162="",C162=""),"",IF(G162="Terminada","Hecha",IF(C162&lt;TODAY(),"Vencida",IF(C162-TODAY()&lt;=Instrucciones!$C$16,"Urgente",IF(E162&lt;&gt;"Sí","Verificar fecha","")))))</f>
        <v/>
      </c>
      <c r="J162" s="0" t="str">
        <f aca="true">IF(OR($A162="",$C162="",$G162="Terminada"),"",IF($C162&lt;=TODAY()+6,$C162+ROW()/100000,""))</f>
        <v/>
      </c>
      <c r="K162" s="0" t="str">
        <f aca="false">IF(J162="","",COUNTIF($J$2:$J$201,"&lt;"&amp;J162)+1)</f>
        <v/>
      </c>
    </row>
    <row r="163" customFormat="false" ht="15" hidden="false" customHeight="false" outlineLevel="0" collapsed="false">
      <c r="A163" s="12"/>
      <c r="B163" s="12"/>
      <c r="C163" s="15"/>
      <c r="D163" s="16"/>
      <c r="E163" s="17"/>
      <c r="F163" s="17"/>
      <c r="G163" s="17"/>
      <c r="H163" s="18" t="str">
        <f aca="true">IF(OR(A163="",C163=""),"",C163-TODAY())</f>
        <v/>
      </c>
      <c r="I163" s="19" t="str">
        <f aca="true">IF(OR(A163="",C163=""),"",IF(G163="Terminada","Hecha",IF(C163&lt;TODAY(),"Vencida",IF(C163-TODAY()&lt;=Instrucciones!$C$16,"Urgente",IF(E163&lt;&gt;"Sí","Verificar fecha","")))))</f>
        <v/>
      </c>
      <c r="J163" s="0" t="str">
        <f aca="true">IF(OR($A163="",$C163="",$G163="Terminada"),"",IF($C163&lt;=TODAY()+6,$C163+ROW()/100000,""))</f>
        <v/>
      </c>
      <c r="K163" s="0" t="str">
        <f aca="false">IF(J163="","",COUNTIF($J$2:$J$201,"&lt;"&amp;J163)+1)</f>
        <v/>
      </c>
    </row>
    <row r="164" customFormat="false" ht="15" hidden="false" customHeight="false" outlineLevel="0" collapsed="false">
      <c r="A164" s="12"/>
      <c r="B164" s="12"/>
      <c r="C164" s="15"/>
      <c r="D164" s="16"/>
      <c r="E164" s="17"/>
      <c r="F164" s="17"/>
      <c r="G164" s="17"/>
      <c r="H164" s="18" t="str">
        <f aca="true">IF(OR(A164="",C164=""),"",C164-TODAY())</f>
        <v/>
      </c>
      <c r="I164" s="19" t="str">
        <f aca="true">IF(OR(A164="",C164=""),"",IF(G164="Terminada","Hecha",IF(C164&lt;TODAY(),"Vencida",IF(C164-TODAY()&lt;=Instrucciones!$C$16,"Urgente",IF(E164&lt;&gt;"Sí","Verificar fecha","")))))</f>
        <v/>
      </c>
      <c r="J164" s="0" t="str">
        <f aca="true">IF(OR($A164="",$C164="",$G164="Terminada"),"",IF($C164&lt;=TODAY()+6,$C164+ROW()/100000,""))</f>
        <v/>
      </c>
      <c r="K164" s="0" t="str">
        <f aca="false">IF(J164="","",COUNTIF($J$2:$J$201,"&lt;"&amp;J164)+1)</f>
        <v/>
      </c>
    </row>
    <row r="165" customFormat="false" ht="15" hidden="false" customHeight="false" outlineLevel="0" collapsed="false">
      <c r="A165" s="12"/>
      <c r="B165" s="12"/>
      <c r="C165" s="15"/>
      <c r="D165" s="16"/>
      <c r="E165" s="17"/>
      <c r="F165" s="17"/>
      <c r="G165" s="17"/>
      <c r="H165" s="18" t="str">
        <f aca="true">IF(OR(A165="",C165=""),"",C165-TODAY())</f>
        <v/>
      </c>
      <c r="I165" s="19" t="str">
        <f aca="true">IF(OR(A165="",C165=""),"",IF(G165="Terminada","Hecha",IF(C165&lt;TODAY(),"Vencida",IF(C165-TODAY()&lt;=Instrucciones!$C$16,"Urgente",IF(E165&lt;&gt;"Sí","Verificar fecha","")))))</f>
        <v/>
      </c>
      <c r="J165" s="0" t="str">
        <f aca="true">IF(OR($A165="",$C165="",$G165="Terminada"),"",IF($C165&lt;=TODAY()+6,$C165+ROW()/100000,""))</f>
        <v/>
      </c>
      <c r="K165" s="0" t="str">
        <f aca="false">IF(J165="","",COUNTIF($J$2:$J$201,"&lt;"&amp;J165)+1)</f>
        <v/>
      </c>
    </row>
    <row r="166" customFormat="false" ht="15" hidden="false" customHeight="false" outlineLevel="0" collapsed="false">
      <c r="A166" s="12"/>
      <c r="B166" s="12"/>
      <c r="C166" s="15"/>
      <c r="D166" s="16"/>
      <c r="E166" s="17"/>
      <c r="F166" s="17"/>
      <c r="G166" s="17"/>
      <c r="H166" s="18" t="str">
        <f aca="true">IF(OR(A166="",C166=""),"",C166-TODAY())</f>
        <v/>
      </c>
      <c r="I166" s="19" t="str">
        <f aca="true">IF(OR(A166="",C166=""),"",IF(G166="Terminada","Hecha",IF(C166&lt;TODAY(),"Vencida",IF(C166-TODAY()&lt;=Instrucciones!$C$16,"Urgente",IF(E166&lt;&gt;"Sí","Verificar fecha","")))))</f>
        <v/>
      </c>
      <c r="J166" s="0" t="str">
        <f aca="true">IF(OR($A166="",$C166="",$G166="Terminada"),"",IF($C166&lt;=TODAY()+6,$C166+ROW()/100000,""))</f>
        <v/>
      </c>
      <c r="K166" s="0" t="str">
        <f aca="false">IF(J166="","",COUNTIF($J$2:$J$201,"&lt;"&amp;J166)+1)</f>
        <v/>
      </c>
    </row>
    <row r="167" customFormat="false" ht="15" hidden="false" customHeight="false" outlineLevel="0" collapsed="false">
      <c r="A167" s="12"/>
      <c r="B167" s="12"/>
      <c r="C167" s="15"/>
      <c r="D167" s="16"/>
      <c r="E167" s="17"/>
      <c r="F167" s="17"/>
      <c r="G167" s="17"/>
      <c r="H167" s="18" t="str">
        <f aca="true">IF(OR(A167="",C167=""),"",C167-TODAY())</f>
        <v/>
      </c>
      <c r="I167" s="19" t="str">
        <f aca="true">IF(OR(A167="",C167=""),"",IF(G167="Terminada","Hecha",IF(C167&lt;TODAY(),"Vencida",IF(C167-TODAY()&lt;=Instrucciones!$C$16,"Urgente",IF(E167&lt;&gt;"Sí","Verificar fecha","")))))</f>
        <v/>
      </c>
      <c r="J167" s="0" t="str">
        <f aca="true">IF(OR($A167="",$C167="",$G167="Terminada"),"",IF($C167&lt;=TODAY()+6,$C167+ROW()/100000,""))</f>
        <v/>
      </c>
      <c r="K167" s="0" t="str">
        <f aca="false">IF(J167="","",COUNTIF($J$2:$J$201,"&lt;"&amp;J167)+1)</f>
        <v/>
      </c>
    </row>
    <row r="168" customFormat="false" ht="15" hidden="false" customHeight="false" outlineLevel="0" collapsed="false">
      <c r="A168" s="12"/>
      <c r="B168" s="12"/>
      <c r="C168" s="15"/>
      <c r="D168" s="16"/>
      <c r="E168" s="17"/>
      <c r="F168" s="17"/>
      <c r="G168" s="17"/>
      <c r="H168" s="18" t="str">
        <f aca="true">IF(OR(A168="",C168=""),"",C168-TODAY())</f>
        <v/>
      </c>
      <c r="I168" s="19" t="str">
        <f aca="true">IF(OR(A168="",C168=""),"",IF(G168="Terminada","Hecha",IF(C168&lt;TODAY(),"Vencida",IF(C168-TODAY()&lt;=Instrucciones!$C$16,"Urgente",IF(E168&lt;&gt;"Sí","Verificar fecha","")))))</f>
        <v/>
      </c>
      <c r="J168" s="0" t="str">
        <f aca="true">IF(OR($A168="",$C168="",$G168="Terminada"),"",IF($C168&lt;=TODAY()+6,$C168+ROW()/100000,""))</f>
        <v/>
      </c>
      <c r="K168" s="0" t="str">
        <f aca="false">IF(J168="","",COUNTIF($J$2:$J$201,"&lt;"&amp;J168)+1)</f>
        <v/>
      </c>
    </row>
    <row r="169" customFormat="false" ht="15" hidden="false" customHeight="false" outlineLevel="0" collapsed="false">
      <c r="A169" s="12"/>
      <c r="B169" s="12"/>
      <c r="C169" s="15"/>
      <c r="D169" s="16"/>
      <c r="E169" s="17"/>
      <c r="F169" s="17"/>
      <c r="G169" s="17"/>
      <c r="H169" s="18" t="str">
        <f aca="true">IF(OR(A169="",C169=""),"",C169-TODAY())</f>
        <v/>
      </c>
      <c r="I169" s="19" t="str">
        <f aca="true">IF(OR(A169="",C169=""),"",IF(G169="Terminada","Hecha",IF(C169&lt;TODAY(),"Vencida",IF(C169-TODAY()&lt;=Instrucciones!$C$16,"Urgente",IF(E169&lt;&gt;"Sí","Verificar fecha","")))))</f>
        <v/>
      </c>
      <c r="J169" s="0" t="str">
        <f aca="true">IF(OR($A169="",$C169="",$G169="Terminada"),"",IF($C169&lt;=TODAY()+6,$C169+ROW()/100000,""))</f>
        <v/>
      </c>
      <c r="K169" s="0" t="str">
        <f aca="false">IF(J169="","",COUNTIF($J$2:$J$201,"&lt;"&amp;J169)+1)</f>
        <v/>
      </c>
    </row>
    <row r="170" customFormat="false" ht="15" hidden="false" customHeight="false" outlineLevel="0" collapsed="false">
      <c r="A170" s="12"/>
      <c r="B170" s="12"/>
      <c r="C170" s="15"/>
      <c r="D170" s="16"/>
      <c r="E170" s="17"/>
      <c r="F170" s="17"/>
      <c r="G170" s="17"/>
      <c r="H170" s="18" t="str">
        <f aca="true">IF(OR(A170="",C170=""),"",C170-TODAY())</f>
        <v/>
      </c>
      <c r="I170" s="19" t="str">
        <f aca="true">IF(OR(A170="",C170=""),"",IF(G170="Terminada","Hecha",IF(C170&lt;TODAY(),"Vencida",IF(C170-TODAY()&lt;=Instrucciones!$C$16,"Urgente",IF(E170&lt;&gt;"Sí","Verificar fecha","")))))</f>
        <v/>
      </c>
      <c r="J170" s="0" t="str">
        <f aca="true">IF(OR($A170="",$C170="",$G170="Terminada"),"",IF($C170&lt;=TODAY()+6,$C170+ROW()/100000,""))</f>
        <v/>
      </c>
      <c r="K170" s="0" t="str">
        <f aca="false">IF(J170="","",COUNTIF($J$2:$J$201,"&lt;"&amp;J170)+1)</f>
        <v/>
      </c>
    </row>
    <row r="171" customFormat="false" ht="15" hidden="false" customHeight="false" outlineLevel="0" collapsed="false">
      <c r="A171" s="12"/>
      <c r="B171" s="12"/>
      <c r="C171" s="15"/>
      <c r="D171" s="16"/>
      <c r="E171" s="17"/>
      <c r="F171" s="17"/>
      <c r="G171" s="17"/>
      <c r="H171" s="18" t="str">
        <f aca="true">IF(OR(A171="",C171=""),"",C171-TODAY())</f>
        <v/>
      </c>
      <c r="I171" s="19" t="str">
        <f aca="true">IF(OR(A171="",C171=""),"",IF(G171="Terminada","Hecha",IF(C171&lt;TODAY(),"Vencida",IF(C171-TODAY()&lt;=Instrucciones!$C$16,"Urgente",IF(E171&lt;&gt;"Sí","Verificar fecha","")))))</f>
        <v/>
      </c>
      <c r="J171" s="0" t="str">
        <f aca="true">IF(OR($A171="",$C171="",$G171="Terminada"),"",IF($C171&lt;=TODAY()+6,$C171+ROW()/100000,""))</f>
        <v/>
      </c>
      <c r="K171" s="0" t="str">
        <f aca="false">IF(J171="","",COUNTIF($J$2:$J$201,"&lt;"&amp;J171)+1)</f>
        <v/>
      </c>
    </row>
    <row r="172" customFormat="false" ht="15" hidden="false" customHeight="false" outlineLevel="0" collapsed="false">
      <c r="A172" s="12"/>
      <c r="B172" s="12"/>
      <c r="C172" s="15"/>
      <c r="D172" s="16"/>
      <c r="E172" s="17"/>
      <c r="F172" s="17"/>
      <c r="G172" s="17"/>
      <c r="H172" s="18" t="str">
        <f aca="true">IF(OR(A172="",C172=""),"",C172-TODAY())</f>
        <v/>
      </c>
      <c r="I172" s="19" t="str">
        <f aca="true">IF(OR(A172="",C172=""),"",IF(G172="Terminada","Hecha",IF(C172&lt;TODAY(),"Vencida",IF(C172-TODAY()&lt;=Instrucciones!$C$16,"Urgente",IF(E172&lt;&gt;"Sí","Verificar fecha","")))))</f>
        <v/>
      </c>
      <c r="J172" s="0" t="str">
        <f aca="true">IF(OR($A172="",$C172="",$G172="Terminada"),"",IF($C172&lt;=TODAY()+6,$C172+ROW()/100000,""))</f>
        <v/>
      </c>
      <c r="K172" s="0" t="str">
        <f aca="false">IF(J172="","",COUNTIF($J$2:$J$201,"&lt;"&amp;J172)+1)</f>
        <v/>
      </c>
    </row>
    <row r="173" customFormat="false" ht="15" hidden="false" customHeight="false" outlineLevel="0" collapsed="false">
      <c r="A173" s="12"/>
      <c r="B173" s="12"/>
      <c r="C173" s="15"/>
      <c r="D173" s="16"/>
      <c r="E173" s="17"/>
      <c r="F173" s="17"/>
      <c r="G173" s="17"/>
      <c r="H173" s="18" t="str">
        <f aca="true">IF(OR(A173="",C173=""),"",C173-TODAY())</f>
        <v/>
      </c>
      <c r="I173" s="19" t="str">
        <f aca="true">IF(OR(A173="",C173=""),"",IF(G173="Terminada","Hecha",IF(C173&lt;TODAY(),"Vencida",IF(C173-TODAY()&lt;=Instrucciones!$C$16,"Urgente",IF(E173&lt;&gt;"Sí","Verificar fecha","")))))</f>
        <v/>
      </c>
      <c r="J173" s="0" t="str">
        <f aca="true">IF(OR($A173="",$C173="",$G173="Terminada"),"",IF($C173&lt;=TODAY()+6,$C173+ROW()/100000,""))</f>
        <v/>
      </c>
      <c r="K173" s="0" t="str">
        <f aca="false">IF(J173="","",COUNTIF($J$2:$J$201,"&lt;"&amp;J173)+1)</f>
        <v/>
      </c>
    </row>
    <row r="174" customFormat="false" ht="15" hidden="false" customHeight="false" outlineLevel="0" collapsed="false">
      <c r="A174" s="12"/>
      <c r="B174" s="12"/>
      <c r="C174" s="15"/>
      <c r="D174" s="16"/>
      <c r="E174" s="17"/>
      <c r="F174" s="17"/>
      <c r="G174" s="17"/>
      <c r="H174" s="18" t="str">
        <f aca="true">IF(OR(A174="",C174=""),"",C174-TODAY())</f>
        <v/>
      </c>
      <c r="I174" s="19" t="str">
        <f aca="true">IF(OR(A174="",C174=""),"",IF(G174="Terminada","Hecha",IF(C174&lt;TODAY(),"Vencida",IF(C174-TODAY()&lt;=Instrucciones!$C$16,"Urgente",IF(E174&lt;&gt;"Sí","Verificar fecha","")))))</f>
        <v/>
      </c>
      <c r="J174" s="0" t="str">
        <f aca="true">IF(OR($A174="",$C174="",$G174="Terminada"),"",IF($C174&lt;=TODAY()+6,$C174+ROW()/100000,""))</f>
        <v/>
      </c>
      <c r="K174" s="0" t="str">
        <f aca="false">IF(J174="","",COUNTIF($J$2:$J$201,"&lt;"&amp;J174)+1)</f>
        <v/>
      </c>
    </row>
    <row r="175" customFormat="false" ht="15" hidden="false" customHeight="false" outlineLevel="0" collapsed="false">
      <c r="A175" s="12"/>
      <c r="B175" s="12"/>
      <c r="C175" s="15"/>
      <c r="D175" s="16"/>
      <c r="E175" s="17"/>
      <c r="F175" s="17"/>
      <c r="G175" s="17"/>
      <c r="H175" s="18" t="str">
        <f aca="true">IF(OR(A175="",C175=""),"",C175-TODAY())</f>
        <v/>
      </c>
      <c r="I175" s="19" t="str">
        <f aca="true">IF(OR(A175="",C175=""),"",IF(G175="Terminada","Hecha",IF(C175&lt;TODAY(),"Vencida",IF(C175-TODAY()&lt;=Instrucciones!$C$16,"Urgente",IF(E175&lt;&gt;"Sí","Verificar fecha","")))))</f>
        <v/>
      </c>
      <c r="J175" s="0" t="str">
        <f aca="true">IF(OR($A175="",$C175="",$G175="Terminada"),"",IF($C175&lt;=TODAY()+6,$C175+ROW()/100000,""))</f>
        <v/>
      </c>
      <c r="K175" s="0" t="str">
        <f aca="false">IF(J175="","",COUNTIF($J$2:$J$201,"&lt;"&amp;J175)+1)</f>
        <v/>
      </c>
    </row>
    <row r="176" customFormat="false" ht="15" hidden="false" customHeight="false" outlineLevel="0" collapsed="false">
      <c r="A176" s="12"/>
      <c r="B176" s="12"/>
      <c r="C176" s="15"/>
      <c r="D176" s="16"/>
      <c r="E176" s="17"/>
      <c r="F176" s="17"/>
      <c r="G176" s="17"/>
      <c r="H176" s="18" t="str">
        <f aca="true">IF(OR(A176="",C176=""),"",C176-TODAY())</f>
        <v/>
      </c>
      <c r="I176" s="19" t="str">
        <f aca="true">IF(OR(A176="",C176=""),"",IF(G176="Terminada","Hecha",IF(C176&lt;TODAY(),"Vencida",IF(C176-TODAY()&lt;=Instrucciones!$C$16,"Urgente",IF(E176&lt;&gt;"Sí","Verificar fecha","")))))</f>
        <v/>
      </c>
      <c r="J176" s="0" t="str">
        <f aca="true">IF(OR($A176="",$C176="",$G176="Terminada"),"",IF($C176&lt;=TODAY()+6,$C176+ROW()/100000,""))</f>
        <v/>
      </c>
      <c r="K176" s="0" t="str">
        <f aca="false">IF(J176="","",COUNTIF($J$2:$J$201,"&lt;"&amp;J176)+1)</f>
        <v/>
      </c>
    </row>
    <row r="177" customFormat="false" ht="15" hidden="false" customHeight="false" outlineLevel="0" collapsed="false">
      <c r="A177" s="12"/>
      <c r="B177" s="12"/>
      <c r="C177" s="15"/>
      <c r="D177" s="16"/>
      <c r="E177" s="17"/>
      <c r="F177" s="17"/>
      <c r="G177" s="17"/>
      <c r="H177" s="18" t="str">
        <f aca="true">IF(OR(A177="",C177=""),"",C177-TODAY())</f>
        <v/>
      </c>
      <c r="I177" s="19" t="str">
        <f aca="true">IF(OR(A177="",C177=""),"",IF(G177="Terminada","Hecha",IF(C177&lt;TODAY(),"Vencida",IF(C177-TODAY()&lt;=Instrucciones!$C$16,"Urgente",IF(E177&lt;&gt;"Sí","Verificar fecha","")))))</f>
        <v/>
      </c>
      <c r="J177" s="0" t="str">
        <f aca="true">IF(OR($A177="",$C177="",$G177="Terminada"),"",IF($C177&lt;=TODAY()+6,$C177+ROW()/100000,""))</f>
        <v/>
      </c>
      <c r="K177" s="0" t="str">
        <f aca="false">IF(J177="","",COUNTIF($J$2:$J$201,"&lt;"&amp;J177)+1)</f>
        <v/>
      </c>
    </row>
    <row r="178" customFormat="false" ht="15" hidden="false" customHeight="false" outlineLevel="0" collapsed="false">
      <c r="A178" s="12"/>
      <c r="B178" s="12"/>
      <c r="C178" s="15"/>
      <c r="D178" s="16"/>
      <c r="E178" s="17"/>
      <c r="F178" s="17"/>
      <c r="G178" s="17"/>
      <c r="H178" s="18" t="str">
        <f aca="true">IF(OR(A178="",C178=""),"",C178-TODAY())</f>
        <v/>
      </c>
      <c r="I178" s="19" t="str">
        <f aca="true">IF(OR(A178="",C178=""),"",IF(G178="Terminada","Hecha",IF(C178&lt;TODAY(),"Vencida",IF(C178-TODAY()&lt;=Instrucciones!$C$16,"Urgente",IF(E178&lt;&gt;"Sí","Verificar fecha","")))))</f>
        <v/>
      </c>
      <c r="J178" s="0" t="str">
        <f aca="true">IF(OR($A178="",$C178="",$G178="Terminada"),"",IF($C178&lt;=TODAY()+6,$C178+ROW()/100000,""))</f>
        <v/>
      </c>
      <c r="K178" s="0" t="str">
        <f aca="false">IF(J178="","",COUNTIF($J$2:$J$201,"&lt;"&amp;J178)+1)</f>
        <v/>
      </c>
    </row>
    <row r="179" customFormat="false" ht="15" hidden="false" customHeight="false" outlineLevel="0" collapsed="false">
      <c r="A179" s="12"/>
      <c r="B179" s="12"/>
      <c r="C179" s="15"/>
      <c r="D179" s="16"/>
      <c r="E179" s="17"/>
      <c r="F179" s="17"/>
      <c r="G179" s="17"/>
      <c r="H179" s="18" t="str">
        <f aca="true">IF(OR(A179="",C179=""),"",C179-TODAY())</f>
        <v/>
      </c>
      <c r="I179" s="19" t="str">
        <f aca="true">IF(OR(A179="",C179=""),"",IF(G179="Terminada","Hecha",IF(C179&lt;TODAY(),"Vencida",IF(C179-TODAY()&lt;=Instrucciones!$C$16,"Urgente",IF(E179&lt;&gt;"Sí","Verificar fecha","")))))</f>
        <v/>
      </c>
      <c r="J179" s="0" t="str">
        <f aca="true">IF(OR($A179="",$C179="",$G179="Terminada"),"",IF($C179&lt;=TODAY()+6,$C179+ROW()/100000,""))</f>
        <v/>
      </c>
      <c r="K179" s="0" t="str">
        <f aca="false">IF(J179="","",COUNTIF($J$2:$J$201,"&lt;"&amp;J179)+1)</f>
        <v/>
      </c>
    </row>
    <row r="180" customFormat="false" ht="15" hidden="false" customHeight="false" outlineLevel="0" collapsed="false">
      <c r="A180" s="12"/>
      <c r="B180" s="12"/>
      <c r="C180" s="15"/>
      <c r="D180" s="16"/>
      <c r="E180" s="17"/>
      <c r="F180" s="17"/>
      <c r="G180" s="17"/>
      <c r="H180" s="18" t="str">
        <f aca="true">IF(OR(A180="",C180=""),"",C180-TODAY())</f>
        <v/>
      </c>
      <c r="I180" s="19" t="str">
        <f aca="true">IF(OR(A180="",C180=""),"",IF(G180="Terminada","Hecha",IF(C180&lt;TODAY(),"Vencida",IF(C180-TODAY()&lt;=Instrucciones!$C$16,"Urgente",IF(E180&lt;&gt;"Sí","Verificar fecha","")))))</f>
        <v/>
      </c>
      <c r="J180" s="0" t="str">
        <f aca="true">IF(OR($A180="",$C180="",$G180="Terminada"),"",IF($C180&lt;=TODAY()+6,$C180+ROW()/100000,""))</f>
        <v/>
      </c>
      <c r="K180" s="0" t="str">
        <f aca="false">IF(J180="","",COUNTIF($J$2:$J$201,"&lt;"&amp;J180)+1)</f>
        <v/>
      </c>
    </row>
    <row r="181" customFormat="false" ht="15" hidden="false" customHeight="false" outlineLevel="0" collapsed="false">
      <c r="A181" s="12"/>
      <c r="B181" s="12"/>
      <c r="C181" s="15"/>
      <c r="D181" s="16"/>
      <c r="E181" s="17"/>
      <c r="F181" s="17"/>
      <c r="G181" s="17"/>
      <c r="H181" s="18" t="str">
        <f aca="true">IF(OR(A181="",C181=""),"",C181-TODAY())</f>
        <v/>
      </c>
      <c r="I181" s="19" t="str">
        <f aca="true">IF(OR(A181="",C181=""),"",IF(G181="Terminada","Hecha",IF(C181&lt;TODAY(),"Vencida",IF(C181-TODAY()&lt;=Instrucciones!$C$16,"Urgente",IF(E181&lt;&gt;"Sí","Verificar fecha","")))))</f>
        <v/>
      </c>
      <c r="J181" s="0" t="str">
        <f aca="true">IF(OR($A181="",$C181="",$G181="Terminada"),"",IF($C181&lt;=TODAY()+6,$C181+ROW()/100000,""))</f>
        <v/>
      </c>
      <c r="K181" s="0" t="str">
        <f aca="false">IF(J181="","",COUNTIF($J$2:$J$201,"&lt;"&amp;J181)+1)</f>
        <v/>
      </c>
    </row>
    <row r="182" customFormat="false" ht="15" hidden="false" customHeight="false" outlineLevel="0" collapsed="false">
      <c r="A182" s="12"/>
      <c r="B182" s="12"/>
      <c r="C182" s="15"/>
      <c r="D182" s="16"/>
      <c r="E182" s="17"/>
      <c r="F182" s="17"/>
      <c r="G182" s="17"/>
      <c r="H182" s="18" t="str">
        <f aca="true">IF(OR(A182="",C182=""),"",C182-TODAY())</f>
        <v/>
      </c>
      <c r="I182" s="19" t="str">
        <f aca="true">IF(OR(A182="",C182=""),"",IF(G182="Terminada","Hecha",IF(C182&lt;TODAY(),"Vencida",IF(C182-TODAY()&lt;=Instrucciones!$C$16,"Urgente",IF(E182&lt;&gt;"Sí","Verificar fecha","")))))</f>
        <v/>
      </c>
      <c r="J182" s="0" t="str">
        <f aca="true">IF(OR($A182="",$C182="",$G182="Terminada"),"",IF($C182&lt;=TODAY()+6,$C182+ROW()/100000,""))</f>
        <v/>
      </c>
      <c r="K182" s="0" t="str">
        <f aca="false">IF(J182="","",COUNTIF($J$2:$J$201,"&lt;"&amp;J182)+1)</f>
        <v/>
      </c>
    </row>
    <row r="183" customFormat="false" ht="15" hidden="false" customHeight="false" outlineLevel="0" collapsed="false">
      <c r="A183" s="12"/>
      <c r="B183" s="12"/>
      <c r="C183" s="15"/>
      <c r="D183" s="16"/>
      <c r="E183" s="17"/>
      <c r="F183" s="17"/>
      <c r="G183" s="17"/>
      <c r="H183" s="18" t="str">
        <f aca="true">IF(OR(A183="",C183=""),"",C183-TODAY())</f>
        <v/>
      </c>
      <c r="I183" s="19" t="str">
        <f aca="true">IF(OR(A183="",C183=""),"",IF(G183="Terminada","Hecha",IF(C183&lt;TODAY(),"Vencida",IF(C183-TODAY()&lt;=Instrucciones!$C$16,"Urgente",IF(E183&lt;&gt;"Sí","Verificar fecha","")))))</f>
        <v/>
      </c>
      <c r="J183" s="0" t="str">
        <f aca="true">IF(OR($A183="",$C183="",$G183="Terminada"),"",IF($C183&lt;=TODAY()+6,$C183+ROW()/100000,""))</f>
        <v/>
      </c>
      <c r="K183" s="0" t="str">
        <f aca="false">IF(J183="","",COUNTIF($J$2:$J$201,"&lt;"&amp;J183)+1)</f>
        <v/>
      </c>
    </row>
    <row r="184" customFormat="false" ht="15" hidden="false" customHeight="false" outlineLevel="0" collapsed="false">
      <c r="A184" s="12"/>
      <c r="B184" s="12"/>
      <c r="C184" s="15"/>
      <c r="D184" s="16"/>
      <c r="E184" s="17"/>
      <c r="F184" s="17"/>
      <c r="G184" s="17"/>
      <c r="H184" s="18" t="str">
        <f aca="true">IF(OR(A184="",C184=""),"",C184-TODAY())</f>
        <v/>
      </c>
      <c r="I184" s="19" t="str">
        <f aca="true">IF(OR(A184="",C184=""),"",IF(G184="Terminada","Hecha",IF(C184&lt;TODAY(),"Vencida",IF(C184-TODAY()&lt;=Instrucciones!$C$16,"Urgente",IF(E184&lt;&gt;"Sí","Verificar fecha","")))))</f>
        <v/>
      </c>
      <c r="J184" s="0" t="str">
        <f aca="true">IF(OR($A184="",$C184="",$G184="Terminada"),"",IF($C184&lt;=TODAY()+6,$C184+ROW()/100000,""))</f>
        <v/>
      </c>
      <c r="K184" s="0" t="str">
        <f aca="false">IF(J184="","",COUNTIF($J$2:$J$201,"&lt;"&amp;J184)+1)</f>
        <v/>
      </c>
    </row>
    <row r="185" customFormat="false" ht="15" hidden="false" customHeight="false" outlineLevel="0" collapsed="false">
      <c r="A185" s="12"/>
      <c r="B185" s="12"/>
      <c r="C185" s="15"/>
      <c r="D185" s="16"/>
      <c r="E185" s="17"/>
      <c r="F185" s="17"/>
      <c r="G185" s="17"/>
      <c r="H185" s="18" t="str">
        <f aca="true">IF(OR(A185="",C185=""),"",C185-TODAY())</f>
        <v/>
      </c>
      <c r="I185" s="19" t="str">
        <f aca="true">IF(OR(A185="",C185=""),"",IF(G185="Terminada","Hecha",IF(C185&lt;TODAY(),"Vencida",IF(C185-TODAY()&lt;=Instrucciones!$C$16,"Urgente",IF(E185&lt;&gt;"Sí","Verificar fecha","")))))</f>
        <v/>
      </c>
      <c r="J185" s="0" t="str">
        <f aca="true">IF(OR($A185="",$C185="",$G185="Terminada"),"",IF($C185&lt;=TODAY()+6,$C185+ROW()/100000,""))</f>
        <v/>
      </c>
      <c r="K185" s="0" t="str">
        <f aca="false">IF(J185="","",COUNTIF($J$2:$J$201,"&lt;"&amp;J185)+1)</f>
        <v/>
      </c>
    </row>
    <row r="186" customFormat="false" ht="15" hidden="false" customHeight="false" outlineLevel="0" collapsed="false">
      <c r="A186" s="12"/>
      <c r="B186" s="12"/>
      <c r="C186" s="15"/>
      <c r="D186" s="16"/>
      <c r="E186" s="17"/>
      <c r="F186" s="17"/>
      <c r="G186" s="17"/>
      <c r="H186" s="18" t="str">
        <f aca="true">IF(OR(A186="",C186=""),"",C186-TODAY())</f>
        <v/>
      </c>
      <c r="I186" s="19" t="str">
        <f aca="true">IF(OR(A186="",C186=""),"",IF(G186="Terminada","Hecha",IF(C186&lt;TODAY(),"Vencida",IF(C186-TODAY()&lt;=Instrucciones!$C$16,"Urgente",IF(E186&lt;&gt;"Sí","Verificar fecha","")))))</f>
        <v/>
      </c>
      <c r="J186" s="0" t="str">
        <f aca="true">IF(OR($A186="",$C186="",$G186="Terminada"),"",IF($C186&lt;=TODAY()+6,$C186+ROW()/100000,""))</f>
        <v/>
      </c>
      <c r="K186" s="0" t="str">
        <f aca="false">IF(J186="","",COUNTIF($J$2:$J$201,"&lt;"&amp;J186)+1)</f>
        <v/>
      </c>
    </row>
    <row r="187" customFormat="false" ht="15" hidden="false" customHeight="false" outlineLevel="0" collapsed="false">
      <c r="A187" s="12"/>
      <c r="B187" s="12"/>
      <c r="C187" s="15"/>
      <c r="D187" s="16"/>
      <c r="E187" s="17"/>
      <c r="F187" s="17"/>
      <c r="G187" s="17"/>
      <c r="H187" s="18" t="str">
        <f aca="true">IF(OR(A187="",C187=""),"",C187-TODAY())</f>
        <v/>
      </c>
      <c r="I187" s="19" t="str">
        <f aca="true">IF(OR(A187="",C187=""),"",IF(G187="Terminada","Hecha",IF(C187&lt;TODAY(),"Vencida",IF(C187-TODAY()&lt;=Instrucciones!$C$16,"Urgente",IF(E187&lt;&gt;"Sí","Verificar fecha","")))))</f>
        <v/>
      </c>
      <c r="J187" s="0" t="str">
        <f aca="true">IF(OR($A187="",$C187="",$G187="Terminada"),"",IF($C187&lt;=TODAY()+6,$C187+ROW()/100000,""))</f>
        <v/>
      </c>
      <c r="K187" s="0" t="str">
        <f aca="false">IF(J187="","",COUNTIF($J$2:$J$201,"&lt;"&amp;J187)+1)</f>
        <v/>
      </c>
    </row>
    <row r="188" customFormat="false" ht="15" hidden="false" customHeight="false" outlineLevel="0" collapsed="false">
      <c r="A188" s="12"/>
      <c r="B188" s="12"/>
      <c r="C188" s="15"/>
      <c r="D188" s="16"/>
      <c r="E188" s="17"/>
      <c r="F188" s="17"/>
      <c r="G188" s="17"/>
      <c r="H188" s="18" t="str">
        <f aca="true">IF(OR(A188="",C188=""),"",C188-TODAY())</f>
        <v/>
      </c>
      <c r="I188" s="19" t="str">
        <f aca="true">IF(OR(A188="",C188=""),"",IF(G188="Terminada","Hecha",IF(C188&lt;TODAY(),"Vencida",IF(C188-TODAY()&lt;=Instrucciones!$C$16,"Urgente",IF(E188&lt;&gt;"Sí","Verificar fecha","")))))</f>
        <v/>
      </c>
      <c r="J188" s="0" t="str">
        <f aca="true">IF(OR($A188="",$C188="",$G188="Terminada"),"",IF($C188&lt;=TODAY()+6,$C188+ROW()/100000,""))</f>
        <v/>
      </c>
      <c r="K188" s="0" t="str">
        <f aca="false">IF(J188="","",COUNTIF($J$2:$J$201,"&lt;"&amp;J188)+1)</f>
        <v/>
      </c>
    </row>
    <row r="189" customFormat="false" ht="15" hidden="false" customHeight="false" outlineLevel="0" collapsed="false">
      <c r="A189" s="12"/>
      <c r="B189" s="12"/>
      <c r="C189" s="15"/>
      <c r="D189" s="16"/>
      <c r="E189" s="17"/>
      <c r="F189" s="17"/>
      <c r="G189" s="17"/>
      <c r="H189" s="18" t="str">
        <f aca="true">IF(OR(A189="",C189=""),"",C189-TODAY())</f>
        <v/>
      </c>
      <c r="I189" s="19" t="str">
        <f aca="true">IF(OR(A189="",C189=""),"",IF(G189="Terminada","Hecha",IF(C189&lt;TODAY(),"Vencida",IF(C189-TODAY()&lt;=Instrucciones!$C$16,"Urgente",IF(E189&lt;&gt;"Sí","Verificar fecha","")))))</f>
        <v/>
      </c>
      <c r="J189" s="0" t="str">
        <f aca="true">IF(OR($A189="",$C189="",$G189="Terminada"),"",IF($C189&lt;=TODAY()+6,$C189+ROW()/100000,""))</f>
        <v/>
      </c>
      <c r="K189" s="0" t="str">
        <f aca="false">IF(J189="","",COUNTIF($J$2:$J$201,"&lt;"&amp;J189)+1)</f>
        <v/>
      </c>
    </row>
    <row r="190" customFormat="false" ht="15" hidden="false" customHeight="false" outlineLevel="0" collapsed="false">
      <c r="A190" s="12"/>
      <c r="B190" s="12"/>
      <c r="C190" s="15"/>
      <c r="D190" s="16"/>
      <c r="E190" s="17"/>
      <c r="F190" s="17"/>
      <c r="G190" s="17"/>
      <c r="H190" s="18" t="str">
        <f aca="true">IF(OR(A190="",C190=""),"",C190-TODAY())</f>
        <v/>
      </c>
      <c r="I190" s="19" t="str">
        <f aca="true">IF(OR(A190="",C190=""),"",IF(G190="Terminada","Hecha",IF(C190&lt;TODAY(),"Vencida",IF(C190-TODAY()&lt;=Instrucciones!$C$16,"Urgente",IF(E190&lt;&gt;"Sí","Verificar fecha","")))))</f>
        <v/>
      </c>
      <c r="J190" s="0" t="str">
        <f aca="true">IF(OR($A190="",$C190="",$G190="Terminada"),"",IF($C190&lt;=TODAY()+6,$C190+ROW()/100000,""))</f>
        <v/>
      </c>
      <c r="K190" s="0" t="str">
        <f aca="false">IF(J190="","",COUNTIF($J$2:$J$201,"&lt;"&amp;J190)+1)</f>
        <v/>
      </c>
    </row>
    <row r="191" customFormat="false" ht="15" hidden="false" customHeight="false" outlineLevel="0" collapsed="false">
      <c r="A191" s="12"/>
      <c r="B191" s="12"/>
      <c r="C191" s="15"/>
      <c r="D191" s="16"/>
      <c r="E191" s="17"/>
      <c r="F191" s="17"/>
      <c r="G191" s="17"/>
      <c r="H191" s="18" t="str">
        <f aca="true">IF(OR(A191="",C191=""),"",C191-TODAY())</f>
        <v/>
      </c>
      <c r="I191" s="19" t="str">
        <f aca="true">IF(OR(A191="",C191=""),"",IF(G191="Terminada","Hecha",IF(C191&lt;TODAY(),"Vencida",IF(C191-TODAY()&lt;=Instrucciones!$C$16,"Urgente",IF(E191&lt;&gt;"Sí","Verificar fecha","")))))</f>
        <v/>
      </c>
      <c r="J191" s="0" t="str">
        <f aca="true">IF(OR($A191="",$C191="",$G191="Terminada"),"",IF($C191&lt;=TODAY()+6,$C191+ROW()/100000,""))</f>
        <v/>
      </c>
      <c r="K191" s="0" t="str">
        <f aca="false">IF(J191="","",COUNTIF($J$2:$J$201,"&lt;"&amp;J191)+1)</f>
        <v/>
      </c>
    </row>
    <row r="192" customFormat="false" ht="15" hidden="false" customHeight="false" outlineLevel="0" collapsed="false">
      <c r="A192" s="12"/>
      <c r="B192" s="12"/>
      <c r="C192" s="15"/>
      <c r="D192" s="16"/>
      <c r="E192" s="17"/>
      <c r="F192" s="17"/>
      <c r="G192" s="17"/>
      <c r="H192" s="18" t="str">
        <f aca="true">IF(OR(A192="",C192=""),"",C192-TODAY())</f>
        <v/>
      </c>
      <c r="I192" s="19" t="str">
        <f aca="true">IF(OR(A192="",C192=""),"",IF(G192="Terminada","Hecha",IF(C192&lt;TODAY(),"Vencida",IF(C192-TODAY()&lt;=Instrucciones!$C$16,"Urgente",IF(E192&lt;&gt;"Sí","Verificar fecha","")))))</f>
        <v/>
      </c>
      <c r="J192" s="0" t="str">
        <f aca="true">IF(OR($A192="",$C192="",$G192="Terminada"),"",IF($C192&lt;=TODAY()+6,$C192+ROW()/100000,""))</f>
        <v/>
      </c>
      <c r="K192" s="0" t="str">
        <f aca="false">IF(J192="","",COUNTIF($J$2:$J$201,"&lt;"&amp;J192)+1)</f>
        <v/>
      </c>
    </row>
    <row r="193" customFormat="false" ht="15" hidden="false" customHeight="false" outlineLevel="0" collapsed="false">
      <c r="A193" s="12"/>
      <c r="B193" s="12"/>
      <c r="C193" s="15"/>
      <c r="D193" s="16"/>
      <c r="E193" s="17"/>
      <c r="F193" s="17"/>
      <c r="G193" s="17"/>
      <c r="H193" s="18" t="str">
        <f aca="true">IF(OR(A193="",C193=""),"",C193-TODAY())</f>
        <v/>
      </c>
      <c r="I193" s="19" t="str">
        <f aca="true">IF(OR(A193="",C193=""),"",IF(G193="Terminada","Hecha",IF(C193&lt;TODAY(),"Vencida",IF(C193-TODAY()&lt;=Instrucciones!$C$16,"Urgente",IF(E193&lt;&gt;"Sí","Verificar fecha","")))))</f>
        <v/>
      </c>
      <c r="J193" s="0" t="str">
        <f aca="true">IF(OR($A193="",$C193="",$G193="Terminada"),"",IF($C193&lt;=TODAY()+6,$C193+ROW()/100000,""))</f>
        <v/>
      </c>
      <c r="K193" s="0" t="str">
        <f aca="false">IF(J193="","",COUNTIF($J$2:$J$201,"&lt;"&amp;J193)+1)</f>
        <v/>
      </c>
    </row>
    <row r="194" customFormat="false" ht="15" hidden="false" customHeight="false" outlineLevel="0" collapsed="false">
      <c r="A194" s="12"/>
      <c r="B194" s="12"/>
      <c r="C194" s="15"/>
      <c r="D194" s="16"/>
      <c r="E194" s="17"/>
      <c r="F194" s="17"/>
      <c r="G194" s="17"/>
      <c r="H194" s="18" t="str">
        <f aca="true">IF(OR(A194="",C194=""),"",C194-TODAY())</f>
        <v/>
      </c>
      <c r="I194" s="19" t="str">
        <f aca="true">IF(OR(A194="",C194=""),"",IF(G194="Terminada","Hecha",IF(C194&lt;TODAY(),"Vencida",IF(C194-TODAY()&lt;=Instrucciones!$C$16,"Urgente",IF(E194&lt;&gt;"Sí","Verificar fecha","")))))</f>
        <v/>
      </c>
      <c r="J194" s="0" t="str">
        <f aca="true">IF(OR($A194="",$C194="",$G194="Terminada"),"",IF($C194&lt;=TODAY()+6,$C194+ROW()/100000,""))</f>
        <v/>
      </c>
      <c r="K194" s="0" t="str">
        <f aca="false">IF(J194="","",COUNTIF($J$2:$J$201,"&lt;"&amp;J194)+1)</f>
        <v/>
      </c>
    </row>
    <row r="195" customFormat="false" ht="15" hidden="false" customHeight="false" outlineLevel="0" collapsed="false">
      <c r="A195" s="12"/>
      <c r="B195" s="12"/>
      <c r="C195" s="15"/>
      <c r="D195" s="16"/>
      <c r="E195" s="17"/>
      <c r="F195" s="17"/>
      <c r="G195" s="17"/>
      <c r="H195" s="18" t="str">
        <f aca="true">IF(OR(A195="",C195=""),"",C195-TODAY())</f>
        <v/>
      </c>
      <c r="I195" s="19" t="str">
        <f aca="true">IF(OR(A195="",C195=""),"",IF(G195="Terminada","Hecha",IF(C195&lt;TODAY(),"Vencida",IF(C195-TODAY()&lt;=Instrucciones!$C$16,"Urgente",IF(E195&lt;&gt;"Sí","Verificar fecha","")))))</f>
        <v/>
      </c>
      <c r="J195" s="0" t="str">
        <f aca="true">IF(OR($A195="",$C195="",$G195="Terminada"),"",IF($C195&lt;=TODAY()+6,$C195+ROW()/100000,""))</f>
        <v/>
      </c>
      <c r="K195" s="0" t="str">
        <f aca="false">IF(J195="","",COUNTIF($J$2:$J$201,"&lt;"&amp;J195)+1)</f>
        <v/>
      </c>
    </row>
    <row r="196" customFormat="false" ht="15" hidden="false" customHeight="false" outlineLevel="0" collapsed="false">
      <c r="A196" s="12"/>
      <c r="B196" s="12"/>
      <c r="C196" s="15"/>
      <c r="D196" s="16"/>
      <c r="E196" s="17"/>
      <c r="F196" s="17"/>
      <c r="G196" s="17"/>
      <c r="H196" s="18" t="str">
        <f aca="true">IF(OR(A196="",C196=""),"",C196-TODAY())</f>
        <v/>
      </c>
      <c r="I196" s="19" t="str">
        <f aca="true">IF(OR(A196="",C196=""),"",IF(G196="Terminada","Hecha",IF(C196&lt;TODAY(),"Vencida",IF(C196-TODAY()&lt;=Instrucciones!$C$16,"Urgente",IF(E196&lt;&gt;"Sí","Verificar fecha","")))))</f>
        <v/>
      </c>
      <c r="J196" s="0" t="str">
        <f aca="true">IF(OR($A196="",$C196="",$G196="Terminada"),"",IF($C196&lt;=TODAY()+6,$C196+ROW()/100000,""))</f>
        <v/>
      </c>
      <c r="K196" s="0" t="str">
        <f aca="false">IF(J196="","",COUNTIF($J$2:$J$201,"&lt;"&amp;J196)+1)</f>
        <v/>
      </c>
    </row>
    <row r="197" customFormat="false" ht="15" hidden="false" customHeight="false" outlineLevel="0" collapsed="false">
      <c r="A197" s="12"/>
      <c r="B197" s="12"/>
      <c r="C197" s="15"/>
      <c r="D197" s="16"/>
      <c r="E197" s="17"/>
      <c r="F197" s="17"/>
      <c r="G197" s="17"/>
      <c r="H197" s="18" t="str">
        <f aca="true">IF(OR(A197="",C197=""),"",C197-TODAY())</f>
        <v/>
      </c>
      <c r="I197" s="19" t="str">
        <f aca="true">IF(OR(A197="",C197=""),"",IF(G197="Terminada","Hecha",IF(C197&lt;TODAY(),"Vencida",IF(C197-TODAY()&lt;=Instrucciones!$C$16,"Urgente",IF(E197&lt;&gt;"Sí","Verificar fecha","")))))</f>
        <v/>
      </c>
      <c r="J197" s="0" t="str">
        <f aca="true">IF(OR($A197="",$C197="",$G197="Terminada"),"",IF($C197&lt;=TODAY()+6,$C197+ROW()/100000,""))</f>
        <v/>
      </c>
      <c r="K197" s="0" t="str">
        <f aca="false">IF(J197="","",COUNTIF($J$2:$J$201,"&lt;"&amp;J197)+1)</f>
        <v/>
      </c>
    </row>
    <row r="198" customFormat="false" ht="15" hidden="false" customHeight="false" outlineLevel="0" collapsed="false">
      <c r="A198" s="12"/>
      <c r="B198" s="12"/>
      <c r="C198" s="15"/>
      <c r="D198" s="16"/>
      <c r="E198" s="17"/>
      <c r="F198" s="17"/>
      <c r="G198" s="17"/>
      <c r="H198" s="18" t="str">
        <f aca="true">IF(OR(A198="",C198=""),"",C198-TODAY())</f>
        <v/>
      </c>
      <c r="I198" s="19" t="str">
        <f aca="true">IF(OR(A198="",C198=""),"",IF(G198="Terminada","Hecha",IF(C198&lt;TODAY(),"Vencida",IF(C198-TODAY()&lt;=Instrucciones!$C$16,"Urgente",IF(E198&lt;&gt;"Sí","Verificar fecha","")))))</f>
        <v/>
      </c>
      <c r="J198" s="0" t="str">
        <f aca="true">IF(OR($A198="",$C198="",$G198="Terminada"),"",IF($C198&lt;=TODAY()+6,$C198+ROW()/100000,""))</f>
        <v/>
      </c>
      <c r="K198" s="0" t="str">
        <f aca="false">IF(J198="","",COUNTIF($J$2:$J$201,"&lt;"&amp;J198)+1)</f>
        <v/>
      </c>
    </row>
    <row r="199" customFormat="false" ht="15" hidden="false" customHeight="false" outlineLevel="0" collapsed="false">
      <c r="A199" s="12"/>
      <c r="B199" s="12"/>
      <c r="C199" s="15"/>
      <c r="D199" s="16"/>
      <c r="E199" s="17"/>
      <c r="F199" s="17"/>
      <c r="G199" s="17"/>
      <c r="H199" s="18" t="str">
        <f aca="true">IF(OR(A199="",C199=""),"",C199-TODAY())</f>
        <v/>
      </c>
      <c r="I199" s="19" t="str">
        <f aca="true">IF(OR(A199="",C199=""),"",IF(G199="Terminada","Hecha",IF(C199&lt;TODAY(),"Vencida",IF(C199-TODAY()&lt;=Instrucciones!$C$16,"Urgente",IF(E199&lt;&gt;"Sí","Verificar fecha","")))))</f>
        <v/>
      </c>
      <c r="J199" s="0" t="str">
        <f aca="true">IF(OR($A199="",$C199="",$G199="Terminada"),"",IF($C199&lt;=TODAY()+6,$C199+ROW()/100000,""))</f>
        <v/>
      </c>
      <c r="K199" s="0" t="str">
        <f aca="false">IF(J199="","",COUNTIF($J$2:$J$201,"&lt;"&amp;J199)+1)</f>
        <v/>
      </c>
    </row>
    <row r="200" customFormat="false" ht="15" hidden="false" customHeight="false" outlineLevel="0" collapsed="false">
      <c r="A200" s="12"/>
      <c r="B200" s="12"/>
      <c r="C200" s="15"/>
      <c r="D200" s="16"/>
      <c r="E200" s="17"/>
      <c r="F200" s="17"/>
      <c r="G200" s="17"/>
      <c r="H200" s="18" t="str">
        <f aca="true">IF(OR(A200="",C200=""),"",C200-TODAY())</f>
        <v/>
      </c>
      <c r="I200" s="19" t="str">
        <f aca="true">IF(OR(A200="",C200=""),"",IF(G200="Terminada","Hecha",IF(C200&lt;TODAY(),"Vencida",IF(C200-TODAY()&lt;=Instrucciones!$C$16,"Urgente",IF(E200&lt;&gt;"Sí","Verificar fecha","")))))</f>
        <v/>
      </c>
      <c r="J200" s="0" t="str">
        <f aca="true">IF(OR($A200="",$C200="",$G200="Terminada"),"",IF($C200&lt;=TODAY()+6,$C200+ROW()/100000,""))</f>
        <v/>
      </c>
      <c r="K200" s="0" t="str">
        <f aca="false">IF(J200="","",COUNTIF($J$2:$J$201,"&lt;"&amp;J200)+1)</f>
        <v/>
      </c>
    </row>
    <row r="201" customFormat="false" ht="15" hidden="false" customHeight="false" outlineLevel="0" collapsed="false">
      <c r="A201" s="12"/>
      <c r="B201" s="12"/>
      <c r="C201" s="15"/>
      <c r="D201" s="16"/>
      <c r="E201" s="17"/>
      <c r="F201" s="17"/>
      <c r="G201" s="17"/>
      <c r="H201" s="18" t="str">
        <f aca="true">IF(OR(A201="",C201=""),"",C201-TODAY())</f>
        <v/>
      </c>
      <c r="I201" s="19" t="str">
        <f aca="true">IF(OR(A201="",C201=""),"",IF(G201="Terminada","Hecha",IF(C201&lt;TODAY(),"Vencida",IF(C201-TODAY()&lt;=Instrucciones!$C$16,"Urgente",IF(E201&lt;&gt;"Sí","Verificar fecha","")))))</f>
        <v/>
      </c>
      <c r="J201" s="0" t="str">
        <f aca="true">IF(OR($A201="",$C201="",$G201="Terminada"),"",IF($C201&lt;=TODAY()+6,$C201+ROW()/100000,""))</f>
        <v/>
      </c>
      <c r="K201" s="0" t="str">
        <f aca="false">IF(J201="","",COUNTIF($J$2:$J$201,"&lt;"&amp;J201)+1)</f>
        <v/>
      </c>
    </row>
  </sheetData>
  <conditionalFormatting sqref="G2:G201">
    <cfRule type="cellIs" priority="2" operator="equal" aboveAverage="0" equalAverage="0" bottom="0" percent="0" rank="0" text="" dxfId="0">
      <formula>"Pendiente"</formula>
    </cfRule>
    <cfRule type="cellIs" priority="3" operator="equal" aboveAverage="0" equalAverage="0" bottom="0" percent="0" rank="0" text="" dxfId="1">
      <formula>"En proceso"</formula>
    </cfRule>
    <cfRule type="cellIs" priority="4" operator="equal" aboveAverage="0" equalAverage="0" bottom="0" percent="0" rank="0" text="" dxfId="2">
      <formula>"Terminada"</formula>
    </cfRule>
  </conditionalFormatting>
  <conditionalFormatting sqref="F2:F201">
    <cfRule type="cellIs" priority="5" operator="equal" aboveAverage="0" equalAverage="0" bottom="0" percent="0" rank="0" text="" dxfId="3">
      <formula>"Alta"</formula>
    </cfRule>
    <cfRule type="cellIs" priority="6" operator="equal" aboveAverage="0" equalAverage="0" bottom="0" percent="0" rank="0" text="" dxfId="4">
      <formula>"Media"</formula>
    </cfRule>
    <cfRule type="cellIs" priority="7" operator="equal" aboveAverage="0" equalAverage="0" bottom="0" percent="0" rank="0" text="" dxfId="5">
      <formula>"Baja"</formula>
    </cfRule>
  </conditionalFormatting>
  <conditionalFormatting sqref="I2:I201">
    <cfRule type="cellIs" priority="8" operator="equal" aboveAverage="0" equalAverage="0" bottom="0" percent="0" rank="0" text="" dxfId="6">
      <formula>"Vencida"</formula>
    </cfRule>
    <cfRule type="cellIs" priority="9" operator="equal" aboveAverage="0" equalAverage="0" bottom="0" percent="0" rank="0" text="" dxfId="7">
      <formula>"Urgente"</formula>
    </cfRule>
    <cfRule type="cellIs" priority="10" operator="equal" aboveAverage="0" equalAverage="0" bottom="0" percent="0" rank="0" text="" dxfId="8">
      <formula>"Verificar fecha"</formula>
    </cfRule>
    <cfRule type="cellIs" priority="11" operator="equal" aboveAverage="0" equalAverage="0" bottom="0" percent="0" rank="0" text="" dxfId="9">
      <formula>"Hecha"</formula>
    </cfRule>
  </conditionalFormatting>
  <dataValidations count="5">
    <dataValidation allowBlank="true" error="Elige una asignatura de la lista (se agregan en la hoja Asignaturas)." errorStyle="stop" errorTitle="Asignatura" operator="between" showDropDown="false" showErrorMessage="true" showInputMessage="false" sqref="B2:B201" type="list">
      <formula1>Asignaturas!$A$2:$A$13</formula1>
      <formula2>0</formula2>
    </dataValidation>
    <dataValidation allowBlank="true" error="Elige Sí o No." errorStyle="stop" errorTitle="Fecha verificada" operator="between" showDropDown="false" showErrorMessage="true" showInputMessage="false" sqref="E2:E201" type="list">
      <formula1>"Sí,No"</formula1>
      <formula2>0</formula2>
    </dataValidation>
    <dataValidation allowBlank="true" error="Elige Alta, Media o Baja." errorStyle="stop" errorTitle="Prioridad" operator="between" showDropDown="false" showErrorMessage="true" showInputMessage="false" sqref="F2:F201" type="list">
      <formula1>"Alta,Media,Baja"</formula1>
      <formula2>0</formula2>
    </dataValidation>
    <dataValidation allowBlank="true" error="Elige Pendiente, En proceso o Terminada." errorStyle="stop" errorTitle="Estado" operator="between" showDropDown="false" showErrorMessage="true" showInputMessage="false" sqref="G2:G201" type="list">
      <formula1>"Pendiente,En proceso,Terminada"</formula1>
      <formula2>0</formula2>
    </dataValidation>
    <dataValidation allowBlank="true" error="Escribe una fecha válida, por ejemplo 15/10/2026." errorStyle="stop" errorTitle="Fecha" operator="greaterThan" showDropDown="false" showErrorMessage="true" showInputMessage="false" sqref="C2:C201" type="date">
      <formula1>43831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J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3"/>
    <col collapsed="false" customWidth="true" hidden="false" outlineLevel="0" max="3" min="3" style="0" width="7"/>
    <col collapsed="false" customWidth="true" hidden="false" outlineLevel="0" max="4" min="4" style="0" width="8"/>
    <col collapsed="false" customWidth="true" hidden="false" outlineLevel="0" max="5" min="5" style="0" width="36"/>
    <col collapsed="false" customWidth="true" hidden="false" outlineLevel="0" max="6" min="6" style="0" width="26"/>
    <col collapsed="false" customWidth="true" hidden="false" outlineLevel="0" max="7" min="7" style="0" width="11"/>
    <col collapsed="false" customWidth="true" hidden="false" outlineLevel="0" max="8" min="8" style="0" width="13"/>
    <col collapsed="false" customWidth="true" hidden="false" outlineLevel="0" max="9" min="9" style="0" width="16"/>
    <col collapsed="false" customWidth="true" hidden="true" outlineLevel="0" max="10" min="10" style="0" width="13"/>
  </cols>
  <sheetData>
    <row r="1" customFormat="false" ht="19.7" hidden="false" customHeight="false" outlineLevel="0" collapsed="false">
      <c r="A1" s="22" t="s">
        <v>54</v>
      </c>
    </row>
    <row r="2" customFormat="false" ht="15" hidden="false" customHeight="false" outlineLevel="0" collapsed="false">
      <c r="A2" s="23" t="s">
        <v>55</v>
      </c>
      <c r="B2" s="24" t="n">
        <f aca="true">TODAY()</f>
        <v>46294</v>
      </c>
    </row>
    <row r="3" customFormat="false" ht="15" hidden="false" customHeight="false" outlineLevel="0" collapsed="false">
      <c r="A3" s="25" t="str">
        <f aca="false">IF(COUNT(Actividades!$K$2:$K$201)=0,"No tienes entregas pendientes por ahora.",COUNT(Actividades!$K$2:$K$201)&amp;" entrega(s) pendiente(s) para ver primero.")</f>
        <v>4 entrega(s) pendiente(s) para ver primero.</v>
      </c>
    </row>
    <row r="5" customFormat="false" ht="31.5" hidden="false" customHeight="true" outlineLevel="0" collapsed="false">
      <c r="A5" s="11" t="s">
        <v>56</v>
      </c>
      <c r="B5" s="11" t="s">
        <v>57</v>
      </c>
      <c r="C5" s="11" t="s">
        <v>58</v>
      </c>
      <c r="D5" s="11" t="s">
        <v>59</v>
      </c>
      <c r="E5" s="11" t="s">
        <v>27</v>
      </c>
      <c r="F5" s="11" t="s">
        <v>19</v>
      </c>
      <c r="G5" s="11" t="s">
        <v>31</v>
      </c>
      <c r="H5" s="11" t="s">
        <v>32</v>
      </c>
      <c r="I5" s="11" t="s">
        <v>34</v>
      </c>
      <c r="J5" s="11" t="s">
        <v>60</v>
      </c>
    </row>
    <row r="6" customFormat="false" ht="15" hidden="false" customHeight="false" outlineLevel="0" collapsed="false">
      <c r="A6" s="18" t="n">
        <v>1</v>
      </c>
      <c r="B6" s="15" t="n">
        <f aca="false">IF($J6="","",INDEX(Actividades!$C$2:$C$201,$J6))</f>
        <v>46293</v>
      </c>
      <c r="C6" s="17" t="str">
        <f aca="false">IF($B6="","",CHOOSE(WEEKDAY($B6,2),"Lun","Mar","Mié","Jue","Vie","Sáb","Dom"))</f>
        <v>Lun</v>
      </c>
      <c r="D6" s="16" t="n">
        <f aca="false">IF($J6="","",IF(INDEX(Actividades!$D$2:$D$201,$J6)="","",INDEX(Actividades!$D$2:$D$201,$J6)))</f>
        <v>0.999305555555556</v>
      </c>
      <c r="E6" s="12" t="str">
        <f aca="false">IF($J6="","",INDEX(Actividades!$A$2:$A$201,$J6))</f>
        <v>Lectura y resumen</v>
      </c>
      <c r="F6" s="12" t="str">
        <f aca="false">IF($J6="","",INDEX(Actividades!$B$2:$B$201,$J6))</f>
        <v>Inglés</v>
      </c>
      <c r="G6" s="17" t="str">
        <f aca="false">IF($J6="","",INDEX(Actividades!$F$2:$F$201,$J6))</f>
        <v>Baja</v>
      </c>
      <c r="H6" s="17" t="str">
        <f aca="false">IF($J6="","",INDEX(Actividades!$G$2:$G$201,$J6))</f>
        <v>En proceso</v>
      </c>
      <c r="I6" s="17" t="str">
        <f aca="false">IF($J6="","",INDEX(Actividades!$I$2:$I$201,$J6))</f>
        <v>Vencida</v>
      </c>
      <c r="J6" s="21" t="n">
        <f aca="false">IFERROR(MATCH($A6,Actividades!$K$2:$K$201,0),"")</f>
        <v>8</v>
      </c>
    </row>
    <row r="7" customFormat="false" ht="15" hidden="false" customHeight="false" outlineLevel="0" collapsed="false">
      <c r="A7" s="18" t="n">
        <v>2</v>
      </c>
      <c r="B7" s="15" t="n">
        <f aca="false">IF($J7="","",INDEX(Actividades!$C$2:$C$201,$J7))</f>
        <v>46295</v>
      </c>
      <c r="C7" s="17" t="str">
        <f aca="false">IF($B7="","",CHOOSE(WEEKDAY($B7,2),"Lun","Mar","Mié","Jue","Vie","Sáb","Dom"))</f>
        <v>Mié</v>
      </c>
      <c r="D7" s="16" t="n">
        <f aca="false">IF($J7="","",IF(INDEX(Actividades!$D$2:$D$201,$J7)="","",INDEX(Actividades!$D$2:$D$201,$J7)))</f>
        <v>0.833333333333333</v>
      </c>
      <c r="E7" s="12" t="str">
        <f aca="false">IF($J7="","",INDEX(Actividades!$A$2:$A$201,$J7))</f>
        <v>Quiz de normalización</v>
      </c>
      <c r="F7" s="12" t="str">
        <f aca="false">IF($J7="","",INDEX(Actividades!$B$2:$B$201,$J7))</f>
        <v>Bases de datos</v>
      </c>
      <c r="G7" s="17" t="str">
        <f aca="false">IF($J7="","",INDEX(Actividades!$F$2:$F$201,$J7))</f>
        <v>Alta</v>
      </c>
      <c r="H7" s="17" t="str">
        <f aca="false">IF($J7="","",INDEX(Actividades!$G$2:$G$201,$J7))</f>
        <v>Pendiente</v>
      </c>
      <c r="I7" s="17" t="str">
        <f aca="false">IF($J7="","",INDEX(Actividades!$I$2:$I$201,$J7))</f>
        <v>Urgente</v>
      </c>
      <c r="J7" s="21" t="n">
        <f aca="false">IFERROR(MATCH($A7,Actividades!$K$2:$K$201,0),"")</f>
        <v>2</v>
      </c>
    </row>
    <row r="8" customFormat="false" ht="15" hidden="false" customHeight="false" outlineLevel="0" collapsed="false">
      <c r="A8" s="18" t="n">
        <v>3</v>
      </c>
      <c r="B8" s="15" t="n">
        <f aca="false">IF($J8="","",INDEX(Actividades!$C$2:$C$201,$J8))</f>
        <v>46297</v>
      </c>
      <c r="C8" s="17" t="str">
        <f aca="false">IF($B8="","",CHOOSE(WEEKDAY($B8,2),"Lun","Mar","Mié","Jue","Vie","Sáb","Dom"))</f>
        <v>Vie</v>
      </c>
      <c r="D8" s="16" t="n">
        <f aca="false">IF($J8="","",IF(INDEX(Actividades!$D$2:$D$201,$J8)="","",INDEX(Actividades!$D$2:$D$201,$J8)))</f>
        <v>0.999305555555556</v>
      </c>
      <c r="E8" s="12" t="str">
        <f aca="false">IF($J8="","",INDEX(Actividades!$A$2:$A$201,$J8))</f>
        <v>Taller 3: límites</v>
      </c>
      <c r="F8" s="12" t="str">
        <f aca="false">IF($J8="","",INDEX(Actividades!$B$2:$B$201,$J8))</f>
        <v>Cálculo diferencial</v>
      </c>
      <c r="G8" s="17" t="str">
        <f aca="false">IF($J8="","",INDEX(Actividades!$F$2:$F$201,$J8))</f>
        <v>Alta</v>
      </c>
      <c r="H8" s="17" t="str">
        <f aca="false">IF($J8="","",INDEX(Actividades!$G$2:$G$201,$J8))</f>
        <v>En proceso</v>
      </c>
      <c r="I8" s="17" t="str">
        <f aca="false">IF($J8="","",INDEX(Actividades!$I$2:$I$201,$J8))</f>
        <v/>
      </c>
      <c r="J8" s="21" t="n">
        <f aca="false">IFERROR(MATCH($A8,Actividades!$K$2:$K$201,0),"")</f>
        <v>1</v>
      </c>
    </row>
    <row r="9" customFormat="false" ht="15" hidden="false" customHeight="false" outlineLevel="0" collapsed="false">
      <c r="A9" s="18" t="n">
        <v>4</v>
      </c>
      <c r="B9" s="15" t="n">
        <f aca="false">IF($J9="","",INDEX(Actividades!$C$2:$C$201,$J9))</f>
        <v>46300</v>
      </c>
      <c r="C9" s="17" t="str">
        <f aca="false">IF($B9="","",CHOOSE(WEEKDAY($B9,2),"Lun","Mar","Mié","Jue","Vie","Sáb","Dom"))</f>
        <v>Lun</v>
      </c>
      <c r="D9" s="16" t="n">
        <f aca="false">IF($J9="","",IF(INDEX(Actividades!$D$2:$D$201,$J9)="","",INDEX(Actividades!$D$2:$D$201,$J9)))</f>
        <v>0.999305555555556</v>
      </c>
      <c r="E9" s="12" t="str">
        <f aca="false">IF($J9="","",INDEX(Actividades!$A$2:$A$201,$J9))</f>
        <v>Ensayo en inglés</v>
      </c>
      <c r="F9" s="12" t="str">
        <f aca="false">IF($J9="","",INDEX(Actividades!$B$2:$B$201,$J9))</f>
        <v>Inglés</v>
      </c>
      <c r="G9" s="17" t="str">
        <f aca="false">IF($J9="","",INDEX(Actividades!$F$2:$F$201,$J9))</f>
        <v>Media</v>
      </c>
      <c r="H9" s="17" t="str">
        <f aca="false">IF($J9="","",INDEX(Actividades!$G$2:$G$201,$J9))</f>
        <v>Pendiente</v>
      </c>
      <c r="I9" s="17" t="str">
        <f aca="false">IF($J9="","",INDEX(Actividades!$I$2:$I$201,$J9))</f>
        <v/>
      </c>
      <c r="J9" s="21" t="n">
        <f aca="false">IFERROR(MATCH($A9,Actividades!$K$2:$K$201,0),"")</f>
        <v>3</v>
      </c>
    </row>
    <row r="10" customFormat="false" ht="15" hidden="false" customHeight="false" outlineLevel="0" collapsed="false">
      <c r="A10" s="18" t="n">
        <v>5</v>
      </c>
      <c r="B10" s="15" t="str">
        <f aca="false">IF($J10="","",INDEX(Actividades!$C$2:$C$201,$J10))</f>
        <v/>
      </c>
      <c r="C10" s="17" t="str">
        <f aca="false">IF($B10="","",CHOOSE(WEEKDAY($B10,2),"Lun","Mar","Mié","Jue","Vie","Sáb","Dom"))</f>
        <v/>
      </c>
      <c r="D10" s="16" t="str">
        <f aca="false">IF($J10="","",IF(INDEX(Actividades!$D$2:$D$201,$J10)="","",INDEX(Actividades!$D$2:$D$201,$J10)))</f>
        <v/>
      </c>
      <c r="E10" s="12" t="str">
        <f aca="false">IF($J10="","",INDEX(Actividades!$A$2:$A$201,$J10))</f>
        <v/>
      </c>
      <c r="F10" s="12" t="str">
        <f aca="false">IF($J10="","",INDEX(Actividades!$B$2:$B$201,$J10))</f>
        <v/>
      </c>
      <c r="G10" s="17" t="str">
        <f aca="false">IF($J10="","",INDEX(Actividades!$F$2:$F$201,$J10))</f>
        <v/>
      </c>
      <c r="H10" s="17" t="str">
        <f aca="false">IF($J10="","",INDEX(Actividades!$G$2:$G$201,$J10))</f>
        <v/>
      </c>
      <c r="I10" s="17" t="str">
        <f aca="false">IF($J10="","",INDEX(Actividades!$I$2:$I$201,$J10))</f>
        <v/>
      </c>
      <c r="J10" s="0" t="str">
        <f aca="false">IFERROR(MATCH($A10,Actividades!$K$2:$K$201,0),"")</f>
        <v/>
      </c>
    </row>
    <row r="11" customFormat="false" ht="15" hidden="false" customHeight="false" outlineLevel="0" collapsed="false">
      <c r="A11" s="18" t="n">
        <v>6</v>
      </c>
      <c r="B11" s="15" t="str">
        <f aca="false">IF($J11="","",INDEX(Actividades!$C$2:$C$201,$J11))</f>
        <v/>
      </c>
      <c r="C11" s="17" t="str">
        <f aca="false">IF($B11="","",CHOOSE(WEEKDAY($B11,2),"Lun","Mar","Mié","Jue","Vie","Sáb","Dom"))</f>
        <v/>
      </c>
      <c r="D11" s="16" t="str">
        <f aca="false">IF($J11="","",IF(INDEX(Actividades!$D$2:$D$201,$J11)="","",INDEX(Actividades!$D$2:$D$201,$J11)))</f>
        <v/>
      </c>
      <c r="E11" s="12" t="str">
        <f aca="false">IF($J11="","",INDEX(Actividades!$A$2:$A$201,$J11))</f>
        <v/>
      </c>
      <c r="F11" s="12" t="str">
        <f aca="false">IF($J11="","",INDEX(Actividades!$B$2:$B$201,$J11))</f>
        <v/>
      </c>
      <c r="G11" s="17" t="str">
        <f aca="false">IF($J11="","",INDEX(Actividades!$F$2:$F$201,$J11))</f>
        <v/>
      </c>
      <c r="H11" s="17" t="str">
        <f aca="false">IF($J11="","",INDEX(Actividades!$G$2:$G$201,$J11))</f>
        <v/>
      </c>
      <c r="I11" s="17" t="str">
        <f aca="false">IF($J11="","",INDEX(Actividades!$I$2:$I$201,$J11))</f>
        <v/>
      </c>
      <c r="J11" s="0" t="str">
        <f aca="false">IFERROR(MATCH($A11,Actividades!$K$2:$K$201,0),"")</f>
        <v/>
      </c>
    </row>
    <row r="12" customFormat="false" ht="15" hidden="false" customHeight="false" outlineLevel="0" collapsed="false">
      <c r="A12" s="18" t="n">
        <v>7</v>
      </c>
      <c r="B12" s="15" t="str">
        <f aca="false">IF($J12="","",INDEX(Actividades!$C$2:$C$201,$J12))</f>
        <v/>
      </c>
      <c r="C12" s="17" t="str">
        <f aca="false">IF($B12="","",CHOOSE(WEEKDAY($B12,2),"Lun","Mar","Mié","Jue","Vie","Sáb","Dom"))</f>
        <v/>
      </c>
      <c r="D12" s="16" t="str">
        <f aca="false">IF($J12="","",IF(INDEX(Actividades!$D$2:$D$201,$J12)="","",INDEX(Actividades!$D$2:$D$201,$J12)))</f>
        <v/>
      </c>
      <c r="E12" s="12" t="str">
        <f aca="false">IF($J12="","",INDEX(Actividades!$A$2:$A$201,$J12))</f>
        <v/>
      </c>
      <c r="F12" s="12" t="str">
        <f aca="false">IF($J12="","",INDEX(Actividades!$B$2:$B$201,$J12))</f>
        <v/>
      </c>
      <c r="G12" s="17" t="str">
        <f aca="false">IF($J12="","",INDEX(Actividades!$F$2:$F$201,$J12))</f>
        <v/>
      </c>
      <c r="H12" s="17" t="str">
        <f aca="false">IF($J12="","",INDEX(Actividades!$G$2:$G$201,$J12))</f>
        <v/>
      </c>
      <c r="I12" s="17" t="str">
        <f aca="false">IF($J12="","",INDEX(Actividades!$I$2:$I$201,$J12))</f>
        <v/>
      </c>
      <c r="J12" s="0" t="str">
        <f aca="false">IFERROR(MATCH($A12,Actividades!$K$2:$K$201,0),"")</f>
        <v/>
      </c>
    </row>
    <row r="13" customFormat="false" ht="15" hidden="false" customHeight="false" outlineLevel="0" collapsed="false">
      <c r="A13" s="18" t="n">
        <v>8</v>
      </c>
      <c r="B13" s="15" t="str">
        <f aca="false">IF($J13="","",INDEX(Actividades!$C$2:$C$201,$J13))</f>
        <v/>
      </c>
      <c r="C13" s="17" t="str">
        <f aca="false">IF($B13="","",CHOOSE(WEEKDAY($B13,2),"Lun","Mar","Mié","Jue","Vie","Sáb","Dom"))</f>
        <v/>
      </c>
      <c r="D13" s="16" t="str">
        <f aca="false">IF($J13="","",IF(INDEX(Actividades!$D$2:$D$201,$J13)="","",INDEX(Actividades!$D$2:$D$201,$J13)))</f>
        <v/>
      </c>
      <c r="E13" s="12" t="str">
        <f aca="false">IF($J13="","",INDEX(Actividades!$A$2:$A$201,$J13))</f>
        <v/>
      </c>
      <c r="F13" s="12" t="str">
        <f aca="false">IF($J13="","",INDEX(Actividades!$B$2:$B$201,$J13))</f>
        <v/>
      </c>
      <c r="G13" s="17" t="str">
        <f aca="false">IF($J13="","",INDEX(Actividades!$F$2:$F$201,$J13))</f>
        <v/>
      </c>
      <c r="H13" s="17" t="str">
        <f aca="false">IF($J13="","",INDEX(Actividades!$G$2:$G$201,$J13))</f>
        <v/>
      </c>
      <c r="I13" s="17" t="str">
        <f aca="false">IF($J13="","",INDEX(Actividades!$I$2:$I$201,$J13))</f>
        <v/>
      </c>
      <c r="J13" s="0" t="str">
        <f aca="false">IFERROR(MATCH($A13,Actividades!$K$2:$K$201,0),"")</f>
        <v/>
      </c>
    </row>
    <row r="14" customFormat="false" ht="15" hidden="false" customHeight="false" outlineLevel="0" collapsed="false">
      <c r="A14" s="18" t="n">
        <v>9</v>
      </c>
      <c r="B14" s="15" t="str">
        <f aca="false">IF($J14="","",INDEX(Actividades!$C$2:$C$201,$J14))</f>
        <v/>
      </c>
      <c r="C14" s="17" t="str">
        <f aca="false">IF($B14="","",CHOOSE(WEEKDAY($B14,2),"Lun","Mar","Mié","Jue","Vie","Sáb","Dom"))</f>
        <v/>
      </c>
      <c r="D14" s="16" t="str">
        <f aca="false">IF($J14="","",IF(INDEX(Actividades!$D$2:$D$201,$J14)="","",INDEX(Actividades!$D$2:$D$201,$J14)))</f>
        <v/>
      </c>
      <c r="E14" s="12" t="str">
        <f aca="false">IF($J14="","",INDEX(Actividades!$A$2:$A$201,$J14))</f>
        <v/>
      </c>
      <c r="F14" s="12" t="str">
        <f aca="false">IF($J14="","",INDEX(Actividades!$B$2:$B$201,$J14))</f>
        <v/>
      </c>
      <c r="G14" s="17" t="str">
        <f aca="false">IF($J14="","",INDEX(Actividades!$F$2:$F$201,$J14))</f>
        <v/>
      </c>
      <c r="H14" s="17" t="str">
        <f aca="false">IF($J14="","",INDEX(Actividades!$G$2:$G$201,$J14))</f>
        <v/>
      </c>
      <c r="I14" s="17" t="str">
        <f aca="false">IF($J14="","",INDEX(Actividades!$I$2:$I$201,$J14))</f>
        <v/>
      </c>
      <c r="J14" s="0" t="str">
        <f aca="false">IFERROR(MATCH($A14,Actividades!$K$2:$K$201,0),"")</f>
        <v/>
      </c>
    </row>
    <row r="15" customFormat="false" ht="15" hidden="false" customHeight="false" outlineLevel="0" collapsed="false">
      <c r="A15" s="18" t="n">
        <v>10</v>
      </c>
      <c r="B15" s="15" t="str">
        <f aca="false">IF($J15="","",INDEX(Actividades!$C$2:$C$201,$J15))</f>
        <v/>
      </c>
      <c r="C15" s="17" t="str">
        <f aca="false">IF($B15="","",CHOOSE(WEEKDAY($B15,2),"Lun","Mar","Mié","Jue","Vie","Sáb","Dom"))</f>
        <v/>
      </c>
      <c r="D15" s="16" t="str">
        <f aca="false">IF($J15="","",IF(INDEX(Actividades!$D$2:$D$201,$J15)="","",INDEX(Actividades!$D$2:$D$201,$J15)))</f>
        <v/>
      </c>
      <c r="E15" s="12" t="str">
        <f aca="false">IF($J15="","",INDEX(Actividades!$A$2:$A$201,$J15))</f>
        <v/>
      </c>
      <c r="F15" s="12" t="str">
        <f aca="false">IF($J15="","",INDEX(Actividades!$B$2:$B$201,$J15))</f>
        <v/>
      </c>
      <c r="G15" s="17" t="str">
        <f aca="false">IF($J15="","",INDEX(Actividades!$F$2:$F$201,$J15))</f>
        <v/>
      </c>
      <c r="H15" s="17" t="str">
        <f aca="false">IF($J15="","",INDEX(Actividades!$G$2:$G$201,$J15))</f>
        <v/>
      </c>
      <c r="I15" s="17" t="str">
        <f aca="false">IF($J15="","",INDEX(Actividades!$I$2:$I$201,$J15))</f>
        <v/>
      </c>
      <c r="J15" s="0" t="str">
        <f aca="false">IFERROR(MATCH($A15,Actividades!$K$2:$K$201,0),"")</f>
        <v/>
      </c>
    </row>
    <row r="16" customFormat="false" ht="15" hidden="false" customHeight="false" outlineLevel="0" collapsed="false">
      <c r="A16" s="18" t="n">
        <v>11</v>
      </c>
      <c r="B16" s="15" t="str">
        <f aca="false">IF($J16="","",INDEX(Actividades!$C$2:$C$201,$J16))</f>
        <v/>
      </c>
      <c r="C16" s="17" t="str">
        <f aca="false">IF($B16="","",CHOOSE(WEEKDAY($B16,2),"Lun","Mar","Mié","Jue","Vie","Sáb","Dom"))</f>
        <v/>
      </c>
      <c r="D16" s="16" t="str">
        <f aca="false">IF($J16="","",IF(INDEX(Actividades!$D$2:$D$201,$J16)="","",INDEX(Actividades!$D$2:$D$201,$J16)))</f>
        <v/>
      </c>
      <c r="E16" s="12" t="str">
        <f aca="false">IF($J16="","",INDEX(Actividades!$A$2:$A$201,$J16))</f>
        <v/>
      </c>
      <c r="F16" s="12" t="str">
        <f aca="false">IF($J16="","",INDEX(Actividades!$B$2:$B$201,$J16))</f>
        <v/>
      </c>
      <c r="G16" s="17" t="str">
        <f aca="false">IF($J16="","",INDEX(Actividades!$F$2:$F$201,$J16))</f>
        <v/>
      </c>
      <c r="H16" s="17" t="str">
        <f aca="false">IF($J16="","",INDEX(Actividades!$G$2:$G$201,$J16))</f>
        <v/>
      </c>
      <c r="I16" s="17" t="str">
        <f aca="false">IF($J16="","",INDEX(Actividades!$I$2:$I$201,$J16))</f>
        <v/>
      </c>
      <c r="J16" s="0" t="str">
        <f aca="false">IFERROR(MATCH($A16,Actividades!$K$2:$K$201,0),"")</f>
        <v/>
      </c>
    </row>
    <row r="17" customFormat="false" ht="15" hidden="false" customHeight="false" outlineLevel="0" collapsed="false">
      <c r="A17" s="18" t="n">
        <v>12</v>
      </c>
      <c r="B17" s="15" t="str">
        <f aca="false">IF($J17="","",INDEX(Actividades!$C$2:$C$201,$J17))</f>
        <v/>
      </c>
      <c r="C17" s="17" t="str">
        <f aca="false">IF($B17="","",CHOOSE(WEEKDAY($B17,2),"Lun","Mar","Mié","Jue","Vie","Sáb","Dom"))</f>
        <v/>
      </c>
      <c r="D17" s="16" t="str">
        <f aca="false">IF($J17="","",IF(INDEX(Actividades!$D$2:$D$201,$J17)="","",INDEX(Actividades!$D$2:$D$201,$J17)))</f>
        <v/>
      </c>
      <c r="E17" s="12" t="str">
        <f aca="false">IF($J17="","",INDEX(Actividades!$A$2:$A$201,$J17))</f>
        <v/>
      </c>
      <c r="F17" s="12" t="str">
        <f aca="false">IF($J17="","",INDEX(Actividades!$B$2:$B$201,$J17))</f>
        <v/>
      </c>
      <c r="G17" s="17" t="str">
        <f aca="false">IF($J17="","",INDEX(Actividades!$F$2:$F$201,$J17))</f>
        <v/>
      </c>
      <c r="H17" s="17" t="str">
        <f aca="false">IF($J17="","",INDEX(Actividades!$G$2:$G$201,$J17))</f>
        <v/>
      </c>
      <c r="I17" s="17" t="str">
        <f aca="false">IF($J17="","",INDEX(Actividades!$I$2:$I$201,$J17))</f>
        <v/>
      </c>
      <c r="J17" s="0" t="str">
        <f aca="false">IFERROR(MATCH($A17,Actividades!$K$2:$K$201,0),"")</f>
        <v/>
      </c>
    </row>
    <row r="18" customFormat="false" ht="15" hidden="false" customHeight="false" outlineLevel="0" collapsed="false">
      <c r="A18" s="18" t="n">
        <v>13</v>
      </c>
      <c r="B18" s="15" t="str">
        <f aca="false">IF($J18="","",INDEX(Actividades!$C$2:$C$201,$J18))</f>
        <v/>
      </c>
      <c r="C18" s="17" t="str">
        <f aca="false">IF($B18="","",CHOOSE(WEEKDAY($B18,2),"Lun","Mar","Mié","Jue","Vie","Sáb","Dom"))</f>
        <v/>
      </c>
      <c r="D18" s="16" t="str">
        <f aca="false">IF($J18="","",IF(INDEX(Actividades!$D$2:$D$201,$J18)="","",INDEX(Actividades!$D$2:$D$201,$J18)))</f>
        <v/>
      </c>
      <c r="E18" s="12" t="str">
        <f aca="false">IF($J18="","",INDEX(Actividades!$A$2:$A$201,$J18))</f>
        <v/>
      </c>
      <c r="F18" s="12" t="str">
        <f aca="false">IF($J18="","",INDEX(Actividades!$B$2:$B$201,$J18))</f>
        <v/>
      </c>
      <c r="G18" s="17" t="str">
        <f aca="false">IF($J18="","",INDEX(Actividades!$F$2:$F$201,$J18))</f>
        <v/>
      </c>
      <c r="H18" s="17" t="str">
        <f aca="false">IF($J18="","",INDEX(Actividades!$G$2:$G$201,$J18))</f>
        <v/>
      </c>
      <c r="I18" s="17" t="str">
        <f aca="false">IF($J18="","",INDEX(Actividades!$I$2:$I$201,$J18))</f>
        <v/>
      </c>
      <c r="J18" s="0" t="str">
        <f aca="false">IFERROR(MATCH($A18,Actividades!$K$2:$K$201,0),"")</f>
        <v/>
      </c>
    </row>
    <row r="19" customFormat="false" ht="15" hidden="false" customHeight="false" outlineLevel="0" collapsed="false">
      <c r="A19" s="18" t="n">
        <v>14</v>
      </c>
      <c r="B19" s="15" t="str">
        <f aca="false">IF($J19="","",INDEX(Actividades!$C$2:$C$201,$J19))</f>
        <v/>
      </c>
      <c r="C19" s="17" t="str">
        <f aca="false">IF($B19="","",CHOOSE(WEEKDAY($B19,2),"Lun","Mar","Mié","Jue","Vie","Sáb","Dom"))</f>
        <v/>
      </c>
      <c r="D19" s="16" t="str">
        <f aca="false">IF($J19="","",IF(INDEX(Actividades!$D$2:$D$201,$J19)="","",INDEX(Actividades!$D$2:$D$201,$J19)))</f>
        <v/>
      </c>
      <c r="E19" s="12" t="str">
        <f aca="false">IF($J19="","",INDEX(Actividades!$A$2:$A$201,$J19))</f>
        <v/>
      </c>
      <c r="F19" s="12" t="str">
        <f aca="false">IF($J19="","",INDEX(Actividades!$B$2:$B$201,$J19))</f>
        <v/>
      </c>
      <c r="G19" s="17" t="str">
        <f aca="false">IF($J19="","",INDEX(Actividades!$F$2:$F$201,$J19))</f>
        <v/>
      </c>
      <c r="H19" s="17" t="str">
        <f aca="false">IF($J19="","",INDEX(Actividades!$G$2:$G$201,$J19))</f>
        <v/>
      </c>
      <c r="I19" s="17" t="str">
        <f aca="false">IF($J19="","",INDEX(Actividades!$I$2:$I$201,$J19))</f>
        <v/>
      </c>
      <c r="J19" s="0" t="str">
        <f aca="false">IFERROR(MATCH($A19,Actividades!$K$2:$K$201,0),"")</f>
        <v/>
      </c>
    </row>
    <row r="20" customFormat="false" ht="15" hidden="false" customHeight="false" outlineLevel="0" collapsed="false">
      <c r="A20" s="18" t="n">
        <v>15</v>
      </c>
      <c r="B20" s="15" t="str">
        <f aca="false">IF($J20="","",INDEX(Actividades!$C$2:$C$201,$J20))</f>
        <v/>
      </c>
      <c r="C20" s="17" t="str">
        <f aca="false">IF($B20="","",CHOOSE(WEEKDAY($B20,2),"Lun","Mar","Mié","Jue","Vie","Sáb","Dom"))</f>
        <v/>
      </c>
      <c r="D20" s="16" t="str">
        <f aca="false">IF($J20="","",IF(INDEX(Actividades!$D$2:$D$201,$J20)="","",INDEX(Actividades!$D$2:$D$201,$J20)))</f>
        <v/>
      </c>
      <c r="E20" s="12" t="str">
        <f aca="false">IF($J20="","",INDEX(Actividades!$A$2:$A$201,$J20))</f>
        <v/>
      </c>
      <c r="F20" s="12" t="str">
        <f aca="false">IF($J20="","",INDEX(Actividades!$B$2:$B$201,$J20))</f>
        <v/>
      </c>
      <c r="G20" s="17" t="str">
        <f aca="false">IF($J20="","",INDEX(Actividades!$F$2:$F$201,$J20))</f>
        <v/>
      </c>
      <c r="H20" s="17" t="str">
        <f aca="false">IF($J20="","",INDEX(Actividades!$G$2:$G$201,$J20))</f>
        <v/>
      </c>
      <c r="I20" s="17" t="str">
        <f aca="false">IF($J20="","",INDEX(Actividades!$I$2:$I$201,$J20))</f>
        <v/>
      </c>
      <c r="J20" s="0" t="str">
        <f aca="false">IFERROR(MATCH($A20,Actividades!$K$2:$K$201,0),"")</f>
        <v/>
      </c>
    </row>
    <row r="22" customFormat="false" ht="15" hidden="false" customHeight="false" outlineLevel="0" collapsed="false">
      <c r="A22" s="9" t="s">
        <v>61</v>
      </c>
    </row>
  </sheetData>
  <conditionalFormatting sqref="H6:H20">
    <cfRule type="cellIs" priority="2" operator="equal" aboveAverage="0" equalAverage="0" bottom="0" percent="0" rank="0" text="" dxfId="0">
      <formula>"Pendiente"</formula>
    </cfRule>
    <cfRule type="cellIs" priority="3" operator="equal" aboveAverage="0" equalAverage="0" bottom="0" percent="0" rank="0" text="" dxfId="1">
      <formula>"En proceso"</formula>
    </cfRule>
    <cfRule type="cellIs" priority="4" operator="equal" aboveAverage="0" equalAverage="0" bottom="0" percent="0" rank="0" text="" dxfId="2">
      <formula>"Terminada"</formula>
    </cfRule>
  </conditionalFormatting>
  <conditionalFormatting sqref="G6:G20">
    <cfRule type="cellIs" priority="5" operator="equal" aboveAverage="0" equalAverage="0" bottom="0" percent="0" rank="0" text="" dxfId="3">
      <formula>"Alta"</formula>
    </cfRule>
    <cfRule type="cellIs" priority="6" operator="equal" aboveAverage="0" equalAverage="0" bottom="0" percent="0" rank="0" text="" dxfId="4">
      <formula>"Media"</formula>
    </cfRule>
    <cfRule type="cellIs" priority="7" operator="equal" aboveAverage="0" equalAverage="0" bottom="0" percent="0" rank="0" text="" dxfId="5">
      <formula>"Baja"</formula>
    </cfRule>
  </conditionalFormatting>
  <conditionalFormatting sqref="I6:I20">
    <cfRule type="cellIs" priority="8" operator="equal" aboveAverage="0" equalAverage="0" bottom="0" percent="0" rank="0" text="" dxfId="6">
      <formula>"Vencida"</formula>
    </cfRule>
    <cfRule type="cellIs" priority="9" operator="equal" aboveAverage="0" equalAverage="0" bottom="0" percent="0" rank="0" text="" dxfId="7">
      <formula>"Urgente"</formula>
    </cfRule>
    <cfRule type="cellIs" priority="10" operator="equal" aboveAverage="0" equalAverage="0" bottom="0" percent="0" rank="0" text="" dxfId="8">
      <formula>"Verificar fecha"</formula>
    </cfRule>
    <cfRule type="cellIs" priority="11" operator="equal" aboveAverage="0" equalAverage="0" bottom="0" percent="0" rank="0" text="" dxfId="9">
      <formula>"Hecha"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G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3"/>
    <col collapsed="false" customWidth="true" hidden="false" outlineLevel="0" max="5" min="4" style="0" width="14"/>
    <col collapsed="false" customWidth="true" hidden="false" outlineLevel="0" max="6" min="6" style="0" width="17"/>
    <col collapsed="false" customWidth="true" hidden="false" outlineLevel="0" max="7" min="7" style="0" width="24"/>
  </cols>
  <sheetData>
    <row r="1" customFormat="false" ht="19.7" hidden="false" customHeight="false" outlineLevel="0" collapsed="false">
      <c r="A1" s="22" t="s">
        <v>62</v>
      </c>
    </row>
    <row r="2" customFormat="false" ht="15" hidden="false" customHeight="false" outlineLevel="0" collapsed="false">
      <c r="A2" s="25" t="s">
        <v>63</v>
      </c>
    </row>
    <row r="4" customFormat="false" ht="31.5" hidden="false" customHeight="true" outlineLevel="0" collapsed="false">
      <c r="A4" s="11" t="s">
        <v>64</v>
      </c>
      <c r="B4" s="11" t="s">
        <v>65</v>
      </c>
      <c r="C4" s="11" t="s">
        <v>66</v>
      </c>
      <c r="D4" s="11" t="s">
        <v>67</v>
      </c>
      <c r="E4" s="11" t="s">
        <v>68</v>
      </c>
      <c r="F4" s="11" t="s">
        <v>69</v>
      </c>
      <c r="G4" s="11" t="s">
        <v>70</v>
      </c>
    </row>
    <row r="5" customFormat="false" ht="15" hidden="false" customHeight="false" outlineLevel="0" collapsed="false">
      <c r="A5" s="12" t="s">
        <v>71</v>
      </c>
      <c r="B5" s="15"/>
      <c r="C5" s="15"/>
      <c r="D5" s="13" t="n">
        <f aca="true">COUNTIFS(Actividades!$C$2:$C$201,"&lt;"&amp;TODAY(),Actividades!$G$2:$G$201,"&lt;&gt;Terminada",Actividades!$A$2:$A$201,"&lt;&gt;")</f>
        <v>1</v>
      </c>
      <c r="E5" s="13" t="n">
        <f aca="true">COUNTIFS(Actividades!$C$2:$C$201,"&lt;"&amp;TODAY(),Actividades!$G$2:$G$201,"&lt;&gt;Terminada",Actividades!$F$2:$F$201,"Alta",Actividades!$A$2:$A$201,"&lt;&gt;")</f>
        <v>0</v>
      </c>
      <c r="F5" s="13" t="str">
        <f aca="false">IF(D5&gt;0,"Ponte al día","OK")</f>
        <v>Ponte al día</v>
      </c>
      <c r="G5" s="26" t="str">
        <f aca="false">REPT("█",D5)</f>
        <v>█</v>
      </c>
    </row>
    <row r="6" customFormat="false" ht="15" hidden="false" customHeight="false" outlineLevel="0" collapsed="false">
      <c r="A6" s="12" t="s">
        <v>72</v>
      </c>
      <c r="B6" s="15" t="n">
        <f aca="true">TODAY()+7*0</f>
        <v>46294</v>
      </c>
      <c r="C6" s="15" t="n">
        <f aca="false">B6+6</f>
        <v>46300</v>
      </c>
      <c r="D6" s="13" t="n">
        <f aca="false">COUNTIFS(Actividades!$C$2:$C$201,"&gt;="&amp;B6,Actividades!$C$2:$C$201,"&lt;="&amp;C6,Actividades!$G$2:$G$201,"&lt;&gt;Terminada",Actividades!$A$2:$A$201,"&lt;&gt;")</f>
        <v>3</v>
      </c>
      <c r="E6" s="13" t="n">
        <f aca="false">COUNTIFS(Actividades!$C$2:$C$201,"&gt;="&amp;B6,Actividades!$C$2:$C$201,"&lt;="&amp;C6,Actividades!$G$2:$G$201,"&lt;&gt;Terminada",Actividades!$F$2:$F$201,"Alta",Actividades!$A$2:$A$201,"&lt;&gt;")</f>
        <v>2</v>
      </c>
      <c r="F6" s="13" t="str">
        <f aca="false">IF(D6&gt;=Instrucciones!$C$17,"Semana cargada","OK")</f>
        <v>Semana cargada</v>
      </c>
      <c r="G6" s="26" t="str">
        <f aca="false">REPT("█",D6)</f>
        <v>███</v>
      </c>
    </row>
    <row r="7" customFormat="false" ht="15" hidden="false" customHeight="false" outlineLevel="0" collapsed="false">
      <c r="A7" s="12" t="s">
        <v>73</v>
      </c>
      <c r="B7" s="15" t="n">
        <f aca="true">TODAY()+7*1</f>
        <v>46301</v>
      </c>
      <c r="C7" s="15" t="n">
        <f aca="false">B7+6</f>
        <v>46307</v>
      </c>
      <c r="D7" s="13" t="n">
        <f aca="false">COUNTIFS(Actividades!$C$2:$C$201,"&gt;="&amp;B7,Actividades!$C$2:$C$201,"&lt;="&amp;C7,Actividades!$G$2:$G$201,"&lt;&gt;Terminada",Actividades!$A$2:$A$201,"&lt;&gt;")</f>
        <v>3</v>
      </c>
      <c r="E7" s="13" t="n">
        <f aca="false">COUNTIFS(Actividades!$C$2:$C$201,"&gt;="&amp;B7,Actividades!$C$2:$C$201,"&lt;="&amp;C7,Actividades!$G$2:$G$201,"&lt;&gt;Terminada",Actividades!$F$2:$F$201,"Alta",Actividades!$A$2:$A$201,"&lt;&gt;")</f>
        <v>2</v>
      </c>
      <c r="F7" s="13" t="str">
        <f aca="false">IF(D7&gt;=Instrucciones!$C$17,"Semana cargada","OK")</f>
        <v>Semana cargada</v>
      </c>
      <c r="G7" s="26" t="str">
        <f aca="false">REPT("█",D7)</f>
        <v>███</v>
      </c>
    </row>
    <row r="8" customFormat="false" ht="15" hidden="false" customHeight="false" outlineLevel="0" collapsed="false">
      <c r="A8" s="12" t="s">
        <v>74</v>
      </c>
      <c r="B8" s="15" t="n">
        <f aca="true">TODAY()+7*2</f>
        <v>46308</v>
      </c>
      <c r="C8" s="15" t="n">
        <f aca="false">B8+6</f>
        <v>46314</v>
      </c>
      <c r="D8" s="13" t="n">
        <f aca="false">COUNTIFS(Actividades!$C$2:$C$201,"&gt;="&amp;B8,Actividades!$C$2:$C$201,"&lt;="&amp;C8,Actividades!$G$2:$G$201,"&lt;&gt;Terminada",Actividades!$A$2:$A$201,"&lt;&gt;")</f>
        <v>1</v>
      </c>
      <c r="E8" s="13" t="n">
        <f aca="false">COUNTIFS(Actividades!$C$2:$C$201,"&gt;="&amp;B8,Actividades!$C$2:$C$201,"&lt;="&amp;C8,Actividades!$G$2:$G$201,"&lt;&gt;Terminada",Actividades!$F$2:$F$201,"Alta",Actividades!$A$2:$A$201,"&lt;&gt;")</f>
        <v>0</v>
      </c>
      <c r="F8" s="13" t="str">
        <f aca="false">IF(D8&gt;=Instrucciones!$C$17,"Semana cargada","OK")</f>
        <v>OK</v>
      </c>
      <c r="G8" s="26" t="str">
        <f aca="false">REPT("█",D8)</f>
        <v>█</v>
      </c>
    </row>
    <row r="9" customFormat="false" ht="15" hidden="false" customHeight="false" outlineLevel="0" collapsed="false">
      <c r="A9" s="12" t="s">
        <v>75</v>
      </c>
      <c r="B9" s="15" t="n">
        <f aca="true">TODAY()+7*3</f>
        <v>46315</v>
      </c>
      <c r="C9" s="15" t="n">
        <f aca="false">B9+6</f>
        <v>46321</v>
      </c>
      <c r="D9" s="13" t="n">
        <f aca="false">COUNTIFS(Actividades!$C$2:$C$201,"&gt;="&amp;B9,Actividades!$C$2:$C$201,"&lt;="&amp;C9,Actividades!$G$2:$G$201,"&lt;&gt;Terminada",Actividades!$A$2:$A$201,"&lt;&gt;")</f>
        <v>0</v>
      </c>
      <c r="E9" s="13" t="n">
        <f aca="false">COUNTIFS(Actividades!$C$2:$C$201,"&gt;="&amp;B9,Actividades!$C$2:$C$201,"&lt;="&amp;C9,Actividades!$G$2:$G$201,"&lt;&gt;Terminada",Actividades!$F$2:$F$201,"Alta",Actividades!$A$2:$A$201,"&lt;&gt;")</f>
        <v>0</v>
      </c>
      <c r="F9" s="13" t="str">
        <f aca="false">IF(D9&gt;=Instrucciones!$C$17,"Semana cargada","OK")</f>
        <v>OK</v>
      </c>
      <c r="G9" s="26" t="str">
        <f aca="false">REPT("█",D9)</f>
        <v/>
      </c>
    </row>
    <row r="10" customFormat="false" ht="15" hidden="false" customHeight="false" outlineLevel="0" collapsed="false">
      <c r="A10" s="12" t="s">
        <v>76</v>
      </c>
      <c r="B10" s="15" t="n">
        <f aca="true">TODAY()+7*4</f>
        <v>46322</v>
      </c>
      <c r="C10" s="15" t="n">
        <f aca="false">B10+6</f>
        <v>46328</v>
      </c>
      <c r="D10" s="13" t="n">
        <f aca="false">COUNTIFS(Actividades!$C$2:$C$201,"&gt;="&amp;B10,Actividades!$C$2:$C$201,"&lt;="&amp;C10,Actividades!$G$2:$G$201,"&lt;&gt;Terminada",Actividades!$A$2:$A$201,"&lt;&gt;")</f>
        <v>0</v>
      </c>
      <c r="E10" s="13" t="n">
        <f aca="false">COUNTIFS(Actividades!$C$2:$C$201,"&gt;="&amp;B10,Actividades!$C$2:$C$201,"&lt;="&amp;C10,Actividades!$G$2:$G$201,"&lt;&gt;Terminada",Actividades!$F$2:$F$201,"Alta",Actividades!$A$2:$A$201,"&lt;&gt;")</f>
        <v>0</v>
      </c>
      <c r="F10" s="13" t="str">
        <f aca="false">IF(D10&gt;=Instrucciones!$C$17,"Semana cargada","OK")</f>
        <v>OK</v>
      </c>
      <c r="G10" s="26" t="str">
        <f aca="false">REPT("█",D10)</f>
        <v/>
      </c>
    </row>
    <row r="11" customFormat="false" ht="15" hidden="false" customHeight="false" outlineLevel="0" collapsed="false">
      <c r="A11" s="12" t="s">
        <v>77</v>
      </c>
      <c r="B11" s="15" t="n">
        <f aca="true">TODAY()+7*5</f>
        <v>46329</v>
      </c>
      <c r="C11" s="15" t="n">
        <f aca="false">B11+6</f>
        <v>46335</v>
      </c>
      <c r="D11" s="13" t="n">
        <f aca="false">COUNTIFS(Actividades!$C$2:$C$201,"&gt;="&amp;B11,Actividades!$C$2:$C$201,"&lt;="&amp;C11,Actividades!$G$2:$G$201,"&lt;&gt;Terminada",Actividades!$A$2:$A$201,"&lt;&gt;")</f>
        <v>0</v>
      </c>
      <c r="E11" s="13" t="n">
        <f aca="false">COUNTIFS(Actividades!$C$2:$C$201,"&gt;="&amp;B11,Actividades!$C$2:$C$201,"&lt;="&amp;C11,Actividades!$G$2:$G$201,"&lt;&gt;Terminada",Actividades!$F$2:$F$201,"Alta",Actividades!$A$2:$A$201,"&lt;&gt;")</f>
        <v>0</v>
      </c>
      <c r="F11" s="13" t="str">
        <f aca="false">IF(D11&gt;=Instrucciones!$C$17,"Semana cargada","OK")</f>
        <v>OK</v>
      </c>
      <c r="G11" s="26" t="str">
        <f aca="false">REPT("█",D11)</f>
        <v/>
      </c>
    </row>
    <row r="13" customFormat="false" ht="15" hidden="false" customHeight="false" outlineLevel="0" collapsed="false">
      <c r="A13" s="9" t="s">
        <v>78</v>
      </c>
    </row>
  </sheetData>
  <conditionalFormatting sqref="F5:F11">
    <cfRule type="cellIs" priority="2" operator="equal" aboveAverage="0" equalAverage="0" bottom="0" percent="0" rank="0" text="" dxfId="7">
      <formula>"Semana cargada"</formula>
    </cfRule>
    <cfRule type="cellIs" priority="3" operator="equal" aboveAverage="0" equalAverage="0" bottom="0" percent="0" rank="0" text="" dxfId="6">
      <formula>"Ponte al día"</formula>
    </cfRule>
    <cfRule type="cellIs" priority="4" operator="equal" aboveAverage="0" equalAverage="0" bottom="0" percent="0" rank="0" text="" dxfId="9">
      <formula>"OK"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"/>
    <col collapsed="false" customWidth="true" hidden="false" outlineLevel="0" max="5" min="3" style="0" width="12"/>
    <col collapsed="false" customWidth="true" hidden="false" outlineLevel="0" max="6" min="6" style="0" width="10"/>
    <col collapsed="false" customWidth="true" hidden="false" outlineLevel="0" max="7" min="7" style="0" width="26"/>
  </cols>
  <sheetData>
    <row r="1" customFormat="false" ht="19.7" hidden="false" customHeight="false" outlineLevel="0" collapsed="false">
      <c r="A1" s="22" t="s">
        <v>79</v>
      </c>
    </row>
    <row r="3" customFormat="false" ht="31.5" hidden="false" customHeight="true" outlineLevel="0" collapsed="false">
      <c r="A3" s="11" t="s">
        <v>19</v>
      </c>
      <c r="B3" s="11" t="s">
        <v>80</v>
      </c>
      <c r="C3" s="11" t="s">
        <v>81</v>
      </c>
      <c r="D3" s="11" t="s">
        <v>40</v>
      </c>
      <c r="E3" s="11" t="s">
        <v>82</v>
      </c>
      <c r="F3" s="11" t="s">
        <v>83</v>
      </c>
      <c r="G3" s="11" t="s">
        <v>84</v>
      </c>
    </row>
    <row r="4" customFormat="false" ht="23.85" hidden="false" customHeight="false" outlineLevel="0" collapsed="false">
      <c r="A4" s="12" t="str">
        <f aca="false">IF(Asignaturas!A2="","",Asignaturas!A2)</f>
        <v>Cálculo diferencial</v>
      </c>
      <c r="B4" s="13" t="n">
        <f aca="false">IF($A4="","",COUNTIF(Actividades!$B$2:$B$201,$A4))</f>
        <v>3</v>
      </c>
      <c r="C4" s="13" t="n">
        <f aca="false">IF($A4="","",COUNTIFS(Actividades!$B$2:$B$201,$A4,Actividades!$G$2:$G$201,"Terminada"))</f>
        <v>0</v>
      </c>
      <c r="D4" s="13" t="n">
        <f aca="false">IF($A4="","",COUNTIFS(Actividades!$B$2:$B$201,$A4,Actividades!$G$2:$G$201,"En proceso"))</f>
        <v>1</v>
      </c>
      <c r="E4" s="13" t="n">
        <f aca="false">IF($A4="","",COUNTIFS(Actividades!$B$2:$B$201,$A4,Actividades!$G$2:$G$201,"Pendiente"))</f>
        <v>2</v>
      </c>
      <c r="F4" s="27" t="n">
        <f aca="false">IF($A4="","",IF(B4=0,0,C4/B4))</f>
        <v>0</v>
      </c>
      <c r="G4" s="28" t="str">
        <f aca="false">IF($A4="","",REPT("█",ROUND(F4*20,0))&amp;REPT("░",20-ROUND(F4*20,0)))</f>
        <v>░░░░░░░░░░░░░░░░░░░░</v>
      </c>
    </row>
    <row r="5" customFormat="false" ht="23.85" hidden="false" customHeight="false" outlineLevel="0" collapsed="false">
      <c r="A5" s="12" t="str">
        <f aca="false">IF(Asignaturas!A3="","",Asignaturas!A3)</f>
        <v>Bases de datos</v>
      </c>
      <c r="B5" s="13" t="n">
        <f aca="false">IF($A5="","",COUNTIF(Actividades!$B$2:$B$201,$A5))</f>
        <v>2</v>
      </c>
      <c r="C5" s="13" t="n">
        <f aca="false">IF($A5="","",COUNTIFS(Actividades!$B$2:$B$201,$A5,Actividades!$G$2:$G$201,"Terminada"))</f>
        <v>0</v>
      </c>
      <c r="D5" s="13" t="n">
        <f aca="false">IF($A5="","",COUNTIFS(Actividades!$B$2:$B$201,$A5,Actividades!$G$2:$G$201,"En proceso"))</f>
        <v>0</v>
      </c>
      <c r="E5" s="13" t="n">
        <f aca="false">IF($A5="","",COUNTIFS(Actividades!$B$2:$B$201,$A5,Actividades!$G$2:$G$201,"Pendiente"))</f>
        <v>2</v>
      </c>
      <c r="F5" s="27" t="n">
        <f aca="false">IF($A5="","",IF(B5=0,0,C5/B5))</f>
        <v>0</v>
      </c>
      <c r="G5" s="28" t="str">
        <f aca="false">IF($A5="","",REPT("█",ROUND(F5*20,0))&amp;REPT("░",20-ROUND(F5*20,0)))</f>
        <v>░░░░░░░░░░░░░░░░░░░░</v>
      </c>
    </row>
    <row r="6" customFormat="false" ht="23.85" hidden="false" customHeight="false" outlineLevel="0" collapsed="false">
      <c r="A6" s="12" t="str">
        <f aca="false">IF(Asignaturas!A4="","",Asignaturas!A4)</f>
        <v>Inglés</v>
      </c>
      <c r="B6" s="13" t="n">
        <f aca="false">IF($A6="","",COUNTIF(Actividades!$B$2:$B$201,$A6))</f>
        <v>2</v>
      </c>
      <c r="C6" s="13" t="n">
        <f aca="false">IF($A6="","",COUNTIFS(Actividades!$B$2:$B$201,$A6,Actividades!$G$2:$G$201,"Terminada"))</f>
        <v>0</v>
      </c>
      <c r="D6" s="13" t="n">
        <f aca="false">IF($A6="","",COUNTIFS(Actividades!$B$2:$B$201,$A6,Actividades!$G$2:$G$201,"En proceso"))</f>
        <v>1</v>
      </c>
      <c r="E6" s="13" t="n">
        <f aca="false">IF($A6="","",COUNTIFS(Actividades!$B$2:$B$201,$A6,Actividades!$G$2:$G$201,"Pendiente"))</f>
        <v>1</v>
      </c>
      <c r="F6" s="27" t="n">
        <f aca="false">IF($A6="","",IF(B6=0,0,C6/B6))</f>
        <v>0</v>
      </c>
      <c r="G6" s="28" t="str">
        <f aca="false">IF($A6="","",REPT("█",ROUND(F6*20,0))&amp;REPT("░",20-ROUND(F6*20,0)))</f>
        <v>░░░░░░░░░░░░░░░░░░░░</v>
      </c>
    </row>
    <row r="7" customFormat="false" ht="23.85" hidden="false" customHeight="false" outlineLevel="0" collapsed="false">
      <c r="A7" s="12" t="str">
        <f aca="false">IF(Asignaturas!A5="","",Asignaturas!A5)</f>
        <v>Seminario investigativo</v>
      </c>
      <c r="B7" s="13" t="n">
        <f aca="false">IF($A7="","",COUNTIF(Actividades!$B$2:$B$201,$A7))</f>
        <v>2</v>
      </c>
      <c r="C7" s="13" t="n">
        <f aca="false">IF($A7="","",COUNTIFS(Actividades!$B$2:$B$201,$A7,Actividades!$G$2:$G$201,"Terminada"))</f>
        <v>1</v>
      </c>
      <c r="D7" s="13" t="n">
        <f aca="false">IF($A7="","",COUNTIFS(Actividades!$B$2:$B$201,$A7,Actividades!$G$2:$G$201,"En proceso"))</f>
        <v>0</v>
      </c>
      <c r="E7" s="13" t="n">
        <f aca="false">IF($A7="","",COUNTIFS(Actividades!$B$2:$B$201,$A7,Actividades!$G$2:$G$201,"Pendiente"))</f>
        <v>1</v>
      </c>
      <c r="F7" s="27" t="n">
        <f aca="false">IF($A7="","",IF(B7=0,0,C7/B7))</f>
        <v>0.5</v>
      </c>
      <c r="G7" s="28" t="str">
        <f aca="false">IF($A7="","",REPT("█",ROUND(F7*20,0))&amp;REPT("░",20-ROUND(F7*20,0)))</f>
        <v>██████████░░░░░░░░░░</v>
      </c>
    </row>
    <row r="8" customFormat="false" ht="15" hidden="false" customHeight="false" outlineLevel="0" collapsed="false">
      <c r="A8" s="12" t="str">
        <f aca="false">IF(Asignaturas!A6="","",Asignaturas!A6)</f>
        <v/>
      </c>
      <c r="B8" s="13" t="str">
        <f aca="false">IF($A8="","",COUNTIF(Actividades!$B$2:$B$201,$A8))</f>
        <v/>
      </c>
      <c r="C8" s="13" t="str">
        <f aca="false">IF($A8="","",COUNTIFS(Actividades!$B$2:$B$201,$A8,Actividades!$G$2:$G$201,"Terminada"))</f>
        <v/>
      </c>
      <c r="D8" s="13" t="str">
        <f aca="false">IF($A8="","",COUNTIFS(Actividades!$B$2:$B$201,$A8,Actividades!$G$2:$G$201,"En proceso"))</f>
        <v/>
      </c>
      <c r="E8" s="13" t="str">
        <f aca="false">IF($A8="","",COUNTIFS(Actividades!$B$2:$B$201,$A8,Actividades!$G$2:$G$201,"Pendiente"))</f>
        <v/>
      </c>
      <c r="F8" s="27" t="str">
        <f aca="false">IF($A8="","",IF(B8=0,0,C8/B8))</f>
        <v/>
      </c>
      <c r="G8" s="28" t="str">
        <f aca="false">IF($A8="","",REPT("█",ROUND(F8*20,0))&amp;REPT("░",20-ROUND(F8*20,0)))</f>
        <v/>
      </c>
    </row>
    <row r="9" customFormat="false" ht="15" hidden="false" customHeight="false" outlineLevel="0" collapsed="false">
      <c r="A9" s="12" t="str">
        <f aca="false">IF(Asignaturas!A7="","",Asignaturas!A7)</f>
        <v/>
      </c>
      <c r="B9" s="13" t="str">
        <f aca="false">IF($A9="","",COUNTIF(Actividades!$B$2:$B$201,$A9))</f>
        <v/>
      </c>
      <c r="C9" s="13" t="str">
        <f aca="false">IF($A9="","",COUNTIFS(Actividades!$B$2:$B$201,$A9,Actividades!$G$2:$G$201,"Terminada"))</f>
        <v/>
      </c>
      <c r="D9" s="13" t="str">
        <f aca="false">IF($A9="","",COUNTIFS(Actividades!$B$2:$B$201,$A9,Actividades!$G$2:$G$201,"En proceso"))</f>
        <v/>
      </c>
      <c r="E9" s="13" t="str">
        <f aca="false">IF($A9="","",COUNTIFS(Actividades!$B$2:$B$201,$A9,Actividades!$G$2:$G$201,"Pendiente"))</f>
        <v/>
      </c>
      <c r="F9" s="27" t="str">
        <f aca="false">IF($A9="","",IF(B9=0,0,C9/B9))</f>
        <v/>
      </c>
      <c r="G9" s="28" t="str">
        <f aca="false">IF($A9="","",REPT("█",ROUND(F9*20,0))&amp;REPT("░",20-ROUND(F9*20,0)))</f>
        <v/>
      </c>
    </row>
    <row r="10" customFormat="false" ht="15" hidden="false" customHeight="false" outlineLevel="0" collapsed="false">
      <c r="A10" s="12" t="str">
        <f aca="false">IF(Asignaturas!A8="","",Asignaturas!A8)</f>
        <v/>
      </c>
      <c r="B10" s="13" t="str">
        <f aca="false">IF($A10="","",COUNTIF(Actividades!$B$2:$B$201,$A10))</f>
        <v/>
      </c>
      <c r="C10" s="13" t="str">
        <f aca="false">IF($A10="","",COUNTIFS(Actividades!$B$2:$B$201,$A10,Actividades!$G$2:$G$201,"Terminada"))</f>
        <v/>
      </c>
      <c r="D10" s="13" t="str">
        <f aca="false">IF($A10="","",COUNTIFS(Actividades!$B$2:$B$201,$A10,Actividades!$G$2:$G$201,"En proceso"))</f>
        <v/>
      </c>
      <c r="E10" s="13" t="str">
        <f aca="false">IF($A10="","",COUNTIFS(Actividades!$B$2:$B$201,$A10,Actividades!$G$2:$G$201,"Pendiente"))</f>
        <v/>
      </c>
      <c r="F10" s="27" t="str">
        <f aca="false">IF($A10="","",IF(B10=0,0,C10/B10))</f>
        <v/>
      </c>
      <c r="G10" s="28" t="str">
        <f aca="false">IF($A10="","",REPT("█",ROUND(F10*20,0))&amp;REPT("░",20-ROUND(F10*20,0)))</f>
        <v/>
      </c>
    </row>
    <row r="11" customFormat="false" ht="15" hidden="false" customHeight="false" outlineLevel="0" collapsed="false">
      <c r="A11" s="12" t="str">
        <f aca="false">IF(Asignaturas!A9="","",Asignaturas!A9)</f>
        <v/>
      </c>
      <c r="B11" s="13" t="str">
        <f aca="false">IF($A11="","",COUNTIF(Actividades!$B$2:$B$201,$A11))</f>
        <v/>
      </c>
      <c r="C11" s="13" t="str">
        <f aca="false">IF($A11="","",COUNTIFS(Actividades!$B$2:$B$201,$A11,Actividades!$G$2:$G$201,"Terminada"))</f>
        <v/>
      </c>
      <c r="D11" s="13" t="str">
        <f aca="false">IF($A11="","",COUNTIFS(Actividades!$B$2:$B$201,$A11,Actividades!$G$2:$G$201,"En proceso"))</f>
        <v/>
      </c>
      <c r="E11" s="13" t="str">
        <f aca="false">IF($A11="","",COUNTIFS(Actividades!$B$2:$B$201,$A11,Actividades!$G$2:$G$201,"Pendiente"))</f>
        <v/>
      </c>
      <c r="F11" s="27" t="str">
        <f aca="false">IF($A11="","",IF(B11=0,0,C11/B11))</f>
        <v/>
      </c>
      <c r="G11" s="28" t="str">
        <f aca="false">IF($A11="","",REPT("█",ROUND(F11*20,0))&amp;REPT("░",20-ROUND(F11*20,0)))</f>
        <v/>
      </c>
    </row>
    <row r="12" customFormat="false" ht="15" hidden="false" customHeight="false" outlineLevel="0" collapsed="false">
      <c r="A12" s="12" t="str">
        <f aca="false">IF(Asignaturas!A10="","",Asignaturas!A10)</f>
        <v/>
      </c>
      <c r="B12" s="13" t="str">
        <f aca="false">IF($A12="","",COUNTIF(Actividades!$B$2:$B$201,$A12))</f>
        <v/>
      </c>
      <c r="C12" s="13" t="str">
        <f aca="false">IF($A12="","",COUNTIFS(Actividades!$B$2:$B$201,$A12,Actividades!$G$2:$G$201,"Terminada"))</f>
        <v/>
      </c>
      <c r="D12" s="13" t="str">
        <f aca="false">IF($A12="","",COUNTIFS(Actividades!$B$2:$B$201,$A12,Actividades!$G$2:$G$201,"En proceso"))</f>
        <v/>
      </c>
      <c r="E12" s="13" t="str">
        <f aca="false">IF($A12="","",COUNTIFS(Actividades!$B$2:$B$201,$A12,Actividades!$G$2:$G$201,"Pendiente"))</f>
        <v/>
      </c>
      <c r="F12" s="27" t="str">
        <f aca="false">IF($A12="","",IF(B12=0,0,C12/B12))</f>
        <v/>
      </c>
      <c r="G12" s="28" t="str">
        <f aca="false">IF($A12="","",REPT("█",ROUND(F12*20,0))&amp;REPT("░",20-ROUND(F12*20,0)))</f>
        <v/>
      </c>
    </row>
    <row r="13" customFormat="false" ht="15" hidden="false" customHeight="false" outlineLevel="0" collapsed="false">
      <c r="A13" s="12" t="str">
        <f aca="false">IF(Asignaturas!A11="","",Asignaturas!A11)</f>
        <v/>
      </c>
      <c r="B13" s="13" t="str">
        <f aca="false">IF($A13="","",COUNTIF(Actividades!$B$2:$B$201,$A13))</f>
        <v/>
      </c>
      <c r="C13" s="13" t="str">
        <f aca="false">IF($A13="","",COUNTIFS(Actividades!$B$2:$B$201,$A13,Actividades!$G$2:$G$201,"Terminada"))</f>
        <v/>
      </c>
      <c r="D13" s="13" t="str">
        <f aca="false">IF($A13="","",COUNTIFS(Actividades!$B$2:$B$201,$A13,Actividades!$G$2:$G$201,"En proceso"))</f>
        <v/>
      </c>
      <c r="E13" s="13" t="str">
        <f aca="false">IF($A13="","",COUNTIFS(Actividades!$B$2:$B$201,$A13,Actividades!$G$2:$G$201,"Pendiente"))</f>
        <v/>
      </c>
      <c r="F13" s="27" t="str">
        <f aca="false">IF($A13="","",IF(B13=0,0,C13/B13))</f>
        <v/>
      </c>
      <c r="G13" s="28" t="str">
        <f aca="false">IF($A13="","",REPT("█",ROUND(F13*20,0))&amp;REPT("░",20-ROUND(F13*20,0)))</f>
        <v/>
      </c>
    </row>
    <row r="14" customFormat="false" ht="15" hidden="false" customHeight="false" outlineLevel="0" collapsed="false">
      <c r="A14" s="12" t="str">
        <f aca="false">IF(Asignaturas!A12="","",Asignaturas!A12)</f>
        <v/>
      </c>
      <c r="B14" s="13" t="str">
        <f aca="false">IF($A14="","",COUNTIF(Actividades!$B$2:$B$201,$A14))</f>
        <v/>
      </c>
      <c r="C14" s="13" t="str">
        <f aca="false">IF($A14="","",COUNTIFS(Actividades!$B$2:$B$201,$A14,Actividades!$G$2:$G$201,"Terminada"))</f>
        <v/>
      </c>
      <c r="D14" s="13" t="str">
        <f aca="false">IF($A14="","",COUNTIFS(Actividades!$B$2:$B$201,$A14,Actividades!$G$2:$G$201,"En proceso"))</f>
        <v/>
      </c>
      <c r="E14" s="13" t="str">
        <f aca="false">IF($A14="","",COUNTIFS(Actividades!$B$2:$B$201,$A14,Actividades!$G$2:$G$201,"Pendiente"))</f>
        <v/>
      </c>
      <c r="F14" s="27" t="str">
        <f aca="false">IF($A14="","",IF(B14=0,0,C14/B14))</f>
        <v/>
      </c>
      <c r="G14" s="28" t="str">
        <f aca="false">IF($A14="","",REPT("█",ROUND(F14*20,0))&amp;REPT("░",20-ROUND(F14*20,0)))</f>
        <v/>
      </c>
    </row>
    <row r="15" customFormat="false" ht="15" hidden="false" customHeight="false" outlineLevel="0" collapsed="false">
      <c r="A15" s="12" t="str">
        <f aca="false">IF(Asignaturas!A13="","",Asignaturas!A13)</f>
        <v/>
      </c>
      <c r="B15" s="13" t="str">
        <f aca="false">IF($A15="","",COUNTIF(Actividades!$B$2:$B$201,$A15))</f>
        <v/>
      </c>
      <c r="C15" s="13" t="str">
        <f aca="false">IF($A15="","",COUNTIFS(Actividades!$B$2:$B$201,$A15,Actividades!$G$2:$G$201,"Terminada"))</f>
        <v/>
      </c>
      <c r="D15" s="13" t="str">
        <f aca="false">IF($A15="","",COUNTIFS(Actividades!$B$2:$B$201,$A15,Actividades!$G$2:$G$201,"En proceso"))</f>
        <v/>
      </c>
      <c r="E15" s="13" t="str">
        <f aca="false">IF($A15="","",COUNTIFS(Actividades!$B$2:$B$201,$A15,Actividades!$G$2:$G$201,"Pendiente"))</f>
        <v/>
      </c>
      <c r="F15" s="27" t="str">
        <f aca="false">IF($A15="","",IF(B15=0,0,C15/B15))</f>
        <v/>
      </c>
      <c r="G15" s="28" t="str">
        <f aca="false">IF($A15="","",REPT("█",ROUND(F15*20,0))&amp;REPT("░",20-ROUND(F15*20,0)))</f>
        <v/>
      </c>
    </row>
    <row r="16" customFormat="false" ht="23.85" hidden="false" customHeight="false" outlineLevel="0" collapsed="false">
      <c r="A16" s="29" t="s">
        <v>85</v>
      </c>
      <c r="B16" s="30" t="n">
        <f aca="false">SUM(B4:B15)</f>
        <v>9</v>
      </c>
      <c r="C16" s="30" t="n">
        <f aca="false">SUM(C4:C15)</f>
        <v>1</v>
      </c>
      <c r="D16" s="30" t="n">
        <f aca="false">SUM(D4:D15)</f>
        <v>2</v>
      </c>
      <c r="E16" s="30" t="n">
        <f aca="false">SUM(E4:E15)</f>
        <v>6</v>
      </c>
      <c r="F16" s="31" t="n">
        <f aca="false">IF(B16=0,0,C16/B16)</f>
        <v>0.111111111111111</v>
      </c>
      <c r="G16" s="32" t="str">
        <f aca="false">REPT("█",ROUND(F16*20,0))&amp;REPT("░",20-ROUND(F16*20,0))</f>
        <v>██░░░░░░░░░░░░░░░░░░</v>
      </c>
    </row>
    <row r="18" customFormat="false" ht="15" hidden="false" customHeight="false" outlineLevel="0" collapsed="false">
      <c r="A18" s="9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2026-09-29T23:32:30Z</dcterms:created>
  <dc:creator>openpyxl</dc:creator>
  <dc:description/>
  <dc:language>en-US</dc:language>
  <cp:lastModifiedBy/>
  <dcterms:modified xsi:type="dcterms:W3CDTF">2026-09-29T23:32:30Z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